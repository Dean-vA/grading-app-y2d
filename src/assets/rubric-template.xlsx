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400" yWindow="405" windowWidth="32850" windowHeight="20475" tabRatio="600" firstSheet="0" activeTab="0" autoFilterDateGrouping="1"/>
  </bookViews>
  <sheets>
    <sheet name="2D" sheetId="1" state="visible" r:id="rId1"/>
  </sheets>
  <definedNames/>
  <calcPr calcId="171027" fullCalcOnLoad="1"/>
</workbook>
</file>

<file path=xl/styles.xml><?xml version="1.0" encoding="utf-8"?>
<styleSheet xmlns="http://schemas.openxmlformats.org/spreadsheetml/2006/main">
  <numFmts count="0"/>
  <fonts count="35">
    <font>
      <name val="Calibri"/>
      <family val="2"/>
      <color theme="1"/>
      <sz val="11"/>
      <scheme val="minor"/>
    </font>
    <font>
      <name val="Aptos Narrow"/>
      <family val="2"/>
      <color theme="1"/>
      <sz val="11"/>
      <scheme val="minor"/>
    </font>
    <font>
      <name val="Calibri"/>
      <family val="2"/>
      <sz val="10"/>
    </font>
    <font>
      <name val="Aptos Narrow"/>
      <family val="2"/>
      <color rgb="FF000000"/>
      <sz val="11"/>
      <scheme val="minor"/>
    </font>
    <font>
      <name val="Calibri"/>
      <b val="1"/>
      <color rgb="FF000000"/>
      <sz val="18"/>
    </font>
    <font>
      <name val="Calibri"/>
      <family val="2"/>
      <color rgb="FF000000"/>
      <sz val="18"/>
    </font>
    <font>
      <name val="Calibri"/>
      <family val="2"/>
      <color rgb="FFFFFFFF"/>
      <sz val="10"/>
    </font>
    <font>
      <name val="Calibri"/>
      <b val="1"/>
      <color rgb="FFFFFFFF"/>
      <sz val="10"/>
    </font>
    <font>
      <name val="Calibri"/>
      <family val="2"/>
      <b val="1"/>
      <color rgb="FFFFFFFF"/>
      <sz val="10"/>
    </font>
    <font>
      <name val="Aptos Narrow"/>
      <family val="2"/>
      <color rgb="FF000000"/>
      <sz val="14"/>
      <scheme val="minor"/>
    </font>
    <font>
      <name val="Calibri"/>
      <family val="2"/>
      <b val="1"/>
      <sz val="14"/>
    </font>
    <font>
      <name val="Calibri"/>
      <i val="1"/>
      <color rgb="FF000000"/>
      <sz val="10"/>
    </font>
    <font>
      <name val="Calibri"/>
      <family val="2"/>
      <i val="1"/>
      <sz val="10"/>
    </font>
    <font>
      <name val="Calibri"/>
      <b val="1"/>
      <color rgb="FF9C0006"/>
      <sz val="11"/>
    </font>
    <font>
      <name val="Calibri"/>
      <b val="1"/>
      <color rgb="FF000000"/>
      <sz val="24"/>
    </font>
    <font>
      <name val="Calibri"/>
      <b val="1"/>
      <color rgb="FFFFFFFF"/>
      <sz val="11"/>
    </font>
    <font>
      <name val="Calibri"/>
      <family val="2"/>
      <color rgb="FFFFFFFF"/>
      <sz val="14"/>
    </font>
    <font>
      <name val="Aptos Narrow"/>
      <family val="2"/>
      <b val="1"/>
      <color rgb="FF000000"/>
      <sz val="14"/>
      <scheme val="minor"/>
    </font>
    <font>
      <name val="Calibri"/>
      <family val="2"/>
      <i val="1"/>
      <color rgb="FF000000"/>
      <sz val="10"/>
    </font>
    <font>
      <name val="Calibri"/>
      <family val="2"/>
      <b val="1"/>
      <color rgb="FF000000"/>
      <sz val="24"/>
    </font>
    <font>
      <name val="Calibri"/>
      <family val="2"/>
      <color rgb="FF000000"/>
      <sz val="10"/>
    </font>
    <font>
      <name val="Calibri"/>
      <family val="2"/>
      <b val="1"/>
      <color rgb="FF000000"/>
      <sz val="10"/>
    </font>
    <font>
      <name val="Calibri"/>
      <family val="2"/>
      <b val="1"/>
      <color rgb="FF000000"/>
      <sz val="11"/>
    </font>
    <font>
      <name val="Calibri"/>
      <family val="2"/>
      <color rgb="FF000000"/>
      <sz val="14"/>
    </font>
    <font>
      <name val="Calibri"/>
      <family val="2"/>
      <color rgb="FF000000"/>
      <sz val="11"/>
    </font>
    <font>
      <name val="Calibri"/>
      <color rgb="FF000000"/>
      <sz val="10"/>
    </font>
    <font>
      <name val="Calibri"/>
      <b val="1"/>
      <color rgb="FF000000"/>
      <sz val="11"/>
    </font>
    <font>
      <name val="Calibri"/>
      <color rgb="FF000000"/>
      <sz val="9"/>
    </font>
    <font>
      <name val="Aptos"/>
      <family val="2"/>
      <b val="1"/>
      <color rgb="FF000000"/>
      <sz val="11"/>
    </font>
    <font>
      <name val="Calibri"/>
      <color rgb="FF000000"/>
      <sz val="11"/>
    </font>
    <font>
      <name val="Calibri"/>
      <color rgb="FF000000"/>
      <sz val="14"/>
    </font>
    <font>
      <name val="Calibri"/>
      <sz val="10"/>
    </font>
    <font>
      <name val="Calibri"/>
      <family val="2"/>
      <sz val="11"/>
    </font>
    <font>
      <name val="Calibri"/>
      <family val="2"/>
      <color rgb="FF000000"/>
      <sz val="9"/>
    </font>
    <font>
      <name val="Calibri"/>
      <family val="2"/>
      <b val="1"/>
      <sz val="10"/>
    </font>
  </fonts>
  <fills count="33">
    <fill>
      <patternFill/>
    </fill>
    <fill>
      <patternFill patternType="gray125"/>
    </fill>
    <fill>
      <patternFill patternType="solid">
        <fgColor theme="0"/>
        <bgColor indexed="64"/>
      </patternFill>
    </fill>
    <fill>
      <patternFill patternType="solid">
        <fgColor rgb="FFE97132"/>
        <bgColor rgb="FF000000"/>
      </patternFill>
    </fill>
    <fill>
      <patternFill patternType="solid">
        <fgColor rgb="FFFFFFFF"/>
        <bgColor rgb="FF000000"/>
      </patternFill>
    </fill>
    <fill>
      <patternFill patternType="solid">
        <fgColor rgb="FFFBE2D5"/>
        <bgColor rgb="FF000000"/>
      </patternFill>
    </fill>
    <fill>
      <patternFill patternType="solid">
        <fgColor rgb="FFFBE2D5"/>
      </patternFill>
    </fill>
    <fill>
      <patternFill patternType="solid">
        <fgColor rgb="FF000000"/>
      </patternFill>
    </fill>
    <fill>
      <patternFill patternType="solid">
        <fgColor rgb="FF000000"/>
        <bgColor rgb="FFF7DCE8"/>
      </patternFill>
    </fill>
    <fill>
      <patternFill patternType="solid">
        <fgColor rgb="FF000000"/>
        <bgColor rgb="FF000000"/>
      </patternFill>
    </fill>
    <fill>
      <patternFill patternType="solid">
        <fgColor rgb="FFFFFF00"/>
      </patternFill>
    </fill>
    <fill>
      <patternFill patternType="solid">
        <fgColor rgb="FFFFFFFF"/>
      </patternFill>
    </fill>
    <fill>
      <patternFill patternType="solid">
        <fgColor rgb="FFFFC7CE"/>
      </patternFill>
    </fill>
    <fill>
      <patternFill patternType="solid">
        <fgColor rgb="FFFF0000"/>
      </patternFill>
    </fill>
    <fill>
      <patternFill patternType="solid">
        <fgColor rgb="FFFFFF00"/>
        <bgColor rgb="FF000000"/>
      </patternFill>
    </fill>
    <fill>
      <patternFill patternType="solid">
        <fgColor rgb="FFD0D0D0"/>
        <bgColor rgb="FF000000"/>
      </patternFill>
    </fill>
    <fill>
      <patternFill patternType="solid">
        <fgColor rgb="FFFEF2CD"/>
        <bgColor rgb="FF000000"/>
      </patternFill>
    </fill>
    <fill>
      <patternFill patternType="solid">
        <fgColor rgb="FFFFE1CC"/>
        <bgColor rgb="FF000000"/>
      </patternFill>
    </fill>
    <fill>
      <patternFill patternType="solid">
        <fgColor rgb="FFBDBDBD"/>
        <bgColor rgb="FFBDBDBD"/>
      </patternFill>
    </fill>
    <fill>
      <patternFill patternType="solid">
        <fgColor rgb="FFE97132"/>
      </patternFill>
    </fill>
    <fill>
      <patternFill patternType="solid">
        <fgColor rgb="FFF7C7AC"/>
        <bgColor rgb="FF000000"/>
      </patternFill>
    </fill>
    <fill>
      <patternFill patternType="solid">
        <fgColor rgb="FFFFC7CE"/>
        <bgColor rgb="FF000000"/>
      </patternFill>
    </fill>
    <fill>
      <patternFill patternType="solid">
        <fgColor rgb="FFE97132"/>
        <bgColor rgb="FFE97132"/>
      </patternFill>
    </fill>
    <fill>
      <patternFill patternType="solid">
        <fgColor rgb="FFB7E1CD"/>
        <bgColor rgb="FFB7E1CD"/>
      </patternFill>
    </fill>
    <fill>
      <patternFill patternType="solid">
        <fgColor rgb="FFF2F2F2"/>
        <bgColor rgb="FFFFFFFF"/>
      </patternFill>
    </fill>
    <fill>
      <patternFill patternType="solid">
        <fgColor rgb="FFF2F2F2"/>
        <bgColor rgb="FF000000"/>
      </patternFill>
    </fill>
    <fill>
      <patternFill patternType="solid">
        <fgColor rgb="FFF2F2F2"/>
        <bgColor rgb="FFD9D9D9"/>
      </patternFill>
    </fill>
    <fill>
      <patternFill patternType="solid">
        <fgColor rgb="FFBFBFBF"/>
        <bgColor rgb="FFF3F3F3"/>
      </patternFill>
    </fill>
    <fill>
      <patternFill patternType="solid">
        <fgColor rgb="FFBFBFBF"/>
        <bgColor rgb="FF000000"/>
      </patternFill>
    </fill>
    <fill>
      <patternFill patternType="solid">
        <fgColor rgb="FFD9D9D9"/>
        <bgColor rgb="FFF3F3F3"/>
      </patternFill>
    </fill>
    <fill>
      <patternFill patternType="solid">
        <fgColor rgb="FFD9D9D9"/>
        <bgColor rgb="FF000000"/>
      </patternFill>
    </fill>
    <fill>
      <patternFill patternType="solid">
        <fgColor rgb="FFBFBFBF"/>
        <bgColor rgb="FFD9D9D9"/>
      </patternFill>
    </fill>
    <fill>
      <patternFill patternType="solid">
        <fgColor rgb="FFD9D9D9"/>
        <bgColor rgb="FFD9D9D9"/>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20">
    <xf numFmtId="0" fontId="0" fillId="0" borderId="0" pivotButton="0" quotePrefix="0" xfId="0"/>
    <xf numFmtId="0" fontId="1" fillId="2" borderId="0" pivotButton="0" quotePrefix="0" xfId="0"/>
    <xf numFmtId="0" fontId="2" fillId="3" borderId="0" pivotButton="0" quotePrefix="0" xfId="0"/>
    <xf numFmtId="0" fontId="2" fillId="4" borderId="0" pivotButton="0" quotePrefix="0" xfId="0"/>
    <xf numFmtId="0" fontId="3" fillId="4" borderId="0" pivotButton="0" quotePrefix="0" xfId="0"/>
    <xf numFmtId="0" fontId="2" fillId="5" borderId="0" pivotButton="0" quotePrefix="0" xfId="0"/>
    <xf numFmtId="0" fontId="4" fillId="6" borderId="0" applyAlignment="1" pivotButton="0" quotePrefix="0" xfId="0">
      <alignment horizontal="left"/>
    </xf>
    <xf numFmtId="0" fontId="5" fillId="5" borderId="0" pivotButton="0" quotePrefix="0" xfId="0"/>
    <xf numFmtId="0" fontId="6" fillId="3" borderId="0" pivotButton="0" quotePrefix="0" xfId="0"/>
    <xf numFmtId="0" fontId="6" fillId="5" borderId="0" pivotButton="0" quotePrefix="0" xfId="0"/>
    <xf numFmtId="0" fontId="7" fillId="7" borderId="1" applyAlignment="1" pivotButton="0" quotePrefix="0" xfId="0">
      <alignment horizontal="left"/>
    </xf>
    <xf numFmtId="0" fontId="8" fillId="8" borderId="0" pivotButton="0" quotePrefix="0" xfId="0"/>
    <xf numFmtId="0" fontId="7" fillId="7" borderId="1" applyAlignment="1" pivotButton="0" quotePrefix="0" xfId="0">
      <alignment horizontal="center"/>
    </xf>
    <xf numFmtId="0" fontId="8" fillId="9" borderId="0" applyAlignment="1" pivotButton="0" quotePrefix="0" xfId="0">
      <alignment horizontal="center" vertical="top"/>
    </xf>
    <xf numFmtId="0" fontId="6" fillId="4" borderId="0" pivotButton="0" quotePrefix="0" xfId="0"/>
    <xf numFmtId="0" fontId="9" fillId="4" borderId="0" pivotButton="0" quotePrefix="0" xfId="0"/>
    <xf numFmtId="0" fontId="10" fillId="5" borderId="0" applyAlignment="1" pivotButton="0" quotePrefix="0" xfId="0">
      <alignment horizontal="center" vertical="center" textRotation="90"/>
    </xf>
    <xf numFmtId="0" fontId="11" fillId="10" borderId="1" applyAlignment="1" pivotButton="0" quotePrefix="0" xfId="0">
      <alignment horizontal="center"/>
    </xf>
    <xf numFmtId="0" fontId="11" fillId="11" borderId="1" applyAlignment="1" pivotButton="0" quotePrefix="0" xfId="0">
      <alignment horizontal="center" wrapText="1"/>
    </xf>
    <xf numFmtId="0" fontId="12" fillId="4" borderId="0" applyAlignment="1" pivotButton="0" quotePrefix="0" xfId="0">
      <alignment horizontal="left" vertical="top" wrapText="1"/>
    </xf>
    <xf numFmtId="0" fontId="13" fillId="12" borderId="1" applyAlignment="1" pivotButton="0" quotePrefix="0" xfId="0">
      <alignment horizontal="center"/>
    </xf>
    <xf numFmtId="0" fontId="14" fillId="11" borderId="1" applyAlignment="1" pivotButton="0" quotePrefix="0" xfId="0">
      <alignment horizontal="center"/>
    </xf>
    <xf numFmtId="0" fontId="15" fillId="13" borderId="1" applyAlignment="1" pivotButton="0" quotePrefix="0" xfId="0">
      <alignment horizontal="center"/>
    </xf>
    <xf numFmtId="0" fontId="16" fillId="9" borderId="0" applyAlignment="1" pivotButton="0" quotePrefix="0" xfId="0">
      <alignment horizontal="center" vertical="center"/>
    </xf>
    <xf numFmtId="0" fontId="17" fillId="4" borderId="0" pivotButton="0" quotePrefix="0" xfId="0"/>
    <xf numFmtId="0" fontId="18" fillId="14" borderId="0" pivotButton="0" quotePrefix="0" xfId="0"/>
    <xf numFmtId="0" fontId="19" fillId="0" borderId="0" applyAlignment="1" pivotButton="0" quotePrefix="0" xfId="0">
      <alignment horizontal="center" vertical="center"/>
    </xf>
    <xf numFmtId="0" fontId="8" fillId="9" borderId="0" applyAlignment="1" pivotButton="0" quotePrefix="0" xfId="0">
      <alignment vertical="top"/>
    </xf>
    <xf numFmtId="0" fontId="8" fillId="9" borderId="0" applyAlignment="1" pivotButton="0" quotePrefix="0" xfId="0">
      <alignment horizontal="center"/>
    </xf>
    <xf numFmtId="0" fontId="8" fillId="5" borderId="0" applyAlignment="1" pivotButton="0" quotePrefix="0" xfId="0">
      <alignment horizontal="center"/>
    </xf>
    <xf numFmtId="0" fontId="20" fillId="5" borderId="0" pivotButton="0" quotePrefix="0" xfId="0"/>
    <xf numFmtId="0" fontId="21" fillId="15" borderId="0" applyAlignment="1" pivotButton="0" quotePrefix="0" xfId="0">
      <alignment horizontal="center" vertical="center" wrapText="1"/>
    </xf>
    <xf numFmtId="0" fontId="22" fillId="15" borderId="0" applyAlignment="1" pivotButton="0" quotePrefix="0" xfId="0">
      <alignment horizontal="left" vertical="center" wrapText="1"/>
    </xf>
    <xf numFmtId="0" fontId="23" fillId="15" borderId="0" applyAlignment="1" pivotButton="0" quotePrefix="0" xfId="0">
      <alignment horizontal="center" vertical="center" wrapText="1"/>
    </xf>
    <xf numFmtId="0" fontId="23" fillId="5" borderId="0" applyAlignment="1" pivotButton="0" quotePrefix="0" xfId="0">
      <alignment horizontal="center" vertical="center" wrapText="1"/>
    </xf>
    <xf numFmtId="0" fontId="22" fillId="15" borderId="0" applyAlignment="1" pivotButton="0" quotePrefix="0" xfId="0">
      <alignment horizontal="center" vertical="center" wrapText="1"/>
    </xf>
    <xf numFmtId="0" fontId="24" fillId="4" borderId="0" applyAlignment="1" pivotButton="0" quotePrefix="0" xfId="0">
      <alignment horizontal="center" vertical="center" textRotation="90" wrapText="1"/>
    </xf>
    <xf numFmtId="0" fontId="22" fillId="4" borderId="0" applyAlignment="1" pivotButton="0" quotePrefix="0" xfId="0">
      <alignment horizontal="left" vertical="top" wrapText="1"/>
    </xf>
    <xf numFmtId="0" fontId="25" fillId="16" borderId="0" applyAlignment="1" pivotButton="0" quotePrefix="0" xfId="0">
      <alignment vertical="top" wrapText="1" readingOrder="1"/>
    </xf>
    <xf numFmtId="0" fontId="20" fillId="17" borderId="0" applyAlignment="1" pivotButton="0" quotePrefix="0" xfId="0">
      <alignment horizontal="left" vertical="top" wrapText="1"/>
    </xf>
    <xf numFmtId="0" fontId="25" fillId="17" borderId="0" applyAlignment="1" pivotButton="0" quotePrefix="0" xfId="0">
      <alignment horizontal="left" vertical="top" wrapText="1"/>
    </xf>
    <xf numFmtId="0" fontId="23" fillId="18" borderId="0" applyAlignment="1" pivotButton="0" quotePrefix="0" xfId="0">
      <alignment horizontal="center" vertical="center" wrapText="1"/>
    </xf>
    <xf numFmtId="0" fontId="22" fillId="4" borderId="0" applyAlignment="1" pivotButton="0" quotePrefix="0" xfId="0">
      <alignment horizontal="right" vertical="top" wrapText="1"/>
    </xf>
    <xf numFmtId="0" fontId="22" fillId="3" borderId="0" applyAlignment="1" pivotButton="0" quotePrefix="0" xfId="0">
      <alignment horizontal="center" vertical="top" wrapText="1"/>
    </xf>
    <xf numFmtId="0" fontId="26" fillId="3" borderId="0" applyAlignment="1" pivotButton="0" quotePrefix="0" xfId="0">
      <alignment horizontal="center" vertical="top" wrapText="1"/>
    </xf>
    <xf numFmtId="0" fontId="1" fillId="19" borderId="0" pivotButton="0" quotePrefix="0" xfId="0"/>
    <xf numFmtId="0" fontId="1" fillId="6" borderId="0" pivotButton="0" quotePrefix="0" xfId="0"/>
    <xf numFmtId="0" fontId="25" fillId="11" borderId="0" applyAlignment="1" pivotButton="0" quotePrefix="0" xfId="0">
      <alignment horizontal="left"/>
    </xf>
    <xf numFmtId="0" fontId="26" fillId="11" borderId="0" applyAlignment="1" pivotButton="0" quotePrefix="0" xfId="0">
      <alignment horizontal="right" vertical="top"/>
    </xf>
    <xf numFmtId="0" fontId="27" fillId="11" borderId="0" applyAlignment="1" pivotButton="0" quotePrefix="0" xfId="0">
      <alignment horizontal="left" vertical="top" wrapText="1"/>
    </xf>
    <xf numFmtId="0" fontId="20" fillId="17" borderId="0" applyAlignment="1" pivotButton="0" quotePrefix="0" xfId="0">
      <alignment vertical="top" wrapText="1"/>
    </xf>
    <xf numFmtId="0" fontId="20" fillId="20" borderId="0" applyAlignment="1" pivotButton="0" quotePrefix="0" xfId="0">
      <alignment vertical="top" wrapText="1"/>
    </xf>
    <xf numFmtId="0" fontId="20" fillId="17" borderId="0" applyAlignment="1" pivotButton="0" quotePrefix="0" xfId="0">
      <alignment horizontal="center" vertical="top" wrapText="1"/>
    </xf>
    <xf numFmtId="0" fontId="28" fillId="15" borderId="0" applyAlignment="1" pivotButton="0" quotePrefix="0" xfId="0">
      <alignment horizontal="left" vertical="center" wrapText="1"/>
    </xf>
    <xf numFmtId="0" fontId="28" fillId="15" borderId="0" applyAlignment="1" pivotButton="0" quotePrefix="0" xfId="0">
      <alignment vertical="center" wrapText="1"/>
    </xf>
    <xf numFmtId="0" fontId="20" fillId="16" borderId="0" applyAlignment="1" pivotButton="0" quotePrefix="0" xfId="0">
      <alignment vertical="top" wrapText="1" readingOrder="1"/>
    </xf>
    <xf numFmtId="0" fontId="25" fillId="17" borderId="0" applyAlignment="1" pivotButton="0" quotePrefix="0" xfId="0">
      <alignment horizontal="center" vertical="top" wrapText="1"/>
    </xf>
    <xf numFmtId="0" fontId="20" fillId="20" borderId="0" applyAlignment="1" pivotButton="0" quotePrefix="0" xfId="0">
      <alignment horizontal="center" vertical="top" wrapText="1"/>
    </xf>
    <xf numFmtId="0" fontId="29" fillId="4" borderId="0" applyAlignment="1" pivotButton="0" quotePrefix="0" xfId="0">
      <alignment horizontal="center" vertical="center" textRotation="90" wrapText="1"/>
    </xf>
    <xf numFmtId="0" fontId="26" fillId="4" borderId="0" applyAlignment="1" pivotButton="0" quotePrefix="0" xfId="0">
      <alignment horizontal="left" vertical="top" wrapText="1"/>
    </xf>
    <xf numFmtId="0" fontId="25" fillId="20" borderId="0" applyAlignment="1" pivotButton="0" quotePrefix="0" xfId="0">
      <alignment vertical="top" wrapText="1"/>
    </xf>
    <xf numFmtId="0" fontId="30" fillId="18" borderId="0" applyAlignment="1" pivotButton="0" quotePrefix="0" xfId="0">
      <alignment horizontal="center" vertical="center" wrapText="1"/>
    </xf>
    <xf numFmtId="0" fontId="26" fillId="4" borderId="0" applyAlignment="1" pivotButton="0" quotePrefix="0" xfId="0">
      <alignment horizontal="right" vertical="top" wrapText="1"/>
    </xf>
    <xf numFmtId="0" fontId="31" fillId="3" borderId="0" pivotButton="0" quotePrefix="0" xfId="0"/>
    <xf numFmtId="0" fontId="25" fillId="5" borderId="0" pivotButton="0" quotePrefix="0" xfId="0"/>
    <xf numFmtId="0" fontId="29" fillId="4" borderId="0" applyAlignment="1" pivotButton="0" quotePrefix="0" xfId="0">
      <alignment horizontal="left" vertical="top" textRotation="90" wrapText="1"/>
    </xf>
    <xf numFmtId="0" fontId="13" fillId="21" borderId="0" applyAlignment="1" pivotButton="0" quotePrefix="0" xfId="0">
      <alignment horizontal="center" vertical="center" wrapText="1"/>
    </xf>
    <xf numFmtId="0" fontId="30" fillId="5" borderId="0" applyAlignment="1" pivotButton="0" quotePrefix="0" xfId="0">
      <alignment horizontal="center" vertical="center" wrapText="1"/>
    </xf>
    <xf numFmtId="0" fontId="22" fillId="3" borderId="0" applyAlignment="1" pivotButton="0" quotePrefix="0" xfId="0">
      <alignment vertical="top" wrapText="1"/>
    </xf>
    <xf numFmtId="0" fontId="26" fillId="15" borderId="0" applyAlignment="1" pivotButton="0" quotePrefix="0" xfId="0">
      <alignment horizontal="center" vertical="center" wrapText="1"/>
    </xf>
    <xf numFmtId="0" fontId="23" fillId="4" borderId="0" applyAlignment="1" pivotButton="0" quotePrefix="0" xfId="0">
      <alignment horizontal="center" vertical="center" wrapText="1"/>
    </xf>
    <xf numFmtId="0" fontId="32" fillId="5" borderId="0" pivotButton="0" quotePrefix="0" xfId="0"/>
    <xf numFmtId="0" fontId="24" fillId="5" borderId="0" applyAlignment="1" pivotButton="0" quotePrefix="0" xfId="0">
      <alignment horizontal="right" vertical="center"/>
    </xf>
    <xf numFmtId="0" fontId="23" fillId="22" borderId="0" applyAlignment="1" pivotButton="0" quotePrefix="0" xfId="0">
      <alignment horizontal="center" vertical="center" wrapText="1"/>
    </xf>
    <xf numFmtId="0" fontId="23" fillId="23" borderId="0" applyAlignment="1" pivotButton="0" quotePrefix="0" xfId="0">
      <alignment horizontal="center" vertical="center" wrapText="1"/>
    </xf>
    <xf numFmtId="0" fontId="8" fillId="5" borderId="0" applyAlignment="1" pivotButton="0" quotePrefix="0" xfId="0">
      <alignment vertical="top"/>
    </xf>
    <xf numFmtId="0" fontId="8" fillId="9" borderId="0" applyAlignment="1" pivotButton="0" quotePrefix="0" xfId="0">
      <alignment horizontal="right" vertical="top"/>
    </xf>
    <xf numFmtId="0" fontId="21" fillId="24" borderId="0" applyAlignment="1" pivotButton="0" quotePrefix="0" xfId="0">
      <alignment vertical="center" wrapText="1"/>
    </xf>
    <xf numFmtId="0" fontId="33" fillId="25" borderId="0" applyAlignment="1" pivotButton="0" quotePrefix="0" xfId="0">
      <alignment horizontal="left" vertical="center" wrapText="1"/>
    </xf>
    <xf numFmtId="0" fontId="2" fillId="24" borderId="0" applyAlignment="1" pivotButton="0" quotePrefix="0" xfId="0">
      <alignment horizontal="center" vertical="center"/>
    </xf>
    <xf numFmtId="0" fontId="21" fillId="26" borderId="0" applyAlignment="1" pivotButton="0" quotePrefix="0" xfId="0">
      <alignment vertical="center" wrapText="1"/>
    </xf>
    <xf numFmtId="0" fontId="2" fillId="26" borderId="0" applyAlignment="1" pivotButton="0" quotePrefix="0" xfId="0">
      <alignment horizontal="center" vertical="center"/>
    </xf>
    <xf numFmtId="0" fontId="23" fillId="5" borderId="0" applyAlignment="1" pivotButton="0" quotePrefix="0" xfId="0">
      <alignment horizontal="left" vertical="top" wrapText="1"/>
    </xf>
    <xf numFmtId="0" fontId="2" fillId="3" borderId="0" applyAlignment="1" pivotButton="0" quotePrefix="0" xfId="0">
      <alignment horizontal="left" vertical="top"/>
    </xf>
    <xf numFmtId="0" fontId="21" fillId="27" borderId="0" applyAlignment="1" pivotButton="0" quotePrefix="0" xfId="0">
      <alignment vertical="center" wrapText="1"/>
    </xf>
    <xf numFmtId="0" fontId="33" fillId="28" borderId="0" applyAlignment="1" pivotButton="0" quotePrefix="0" xfId="0">
      <alignment horizontal="left" vertical="center" wrapText="1"/>
    </xf>
    <xf numFmtId="0" fontId="2" fillId="27" borderId="0" applyAlignment="1" pivotButton="0" quotePrefix="0" xfId="0">
      <alignment horizontal="center" vertical="center"/>
    </xf>
    <xf numFmtId="0" fontId="21" fillId="29" borderId="0" applyAlignment="1" pivotButton="0" quotePrefix="0" xfId="0">
      <alignment vertical="center" wrapText="1"/>
    </xf>
    <xf numFmtId="0" fontId="33" fillId="30" borderId="0" applyAlignment="1" pivotButton="0" quotePrefix="0" xfId="0">
      <alignment horizontal="left" vertical="center" wrapText="1"/>
    </xf>
    <xf numFmtId="0" fontId="2" fillId="29" borderId="0" applyAlignment="1" pivotButton="0" quotePrefix="0" xfId="0">
      <alignment horizontal="center" vertical="center"/>
    </xf>
    <xf numFmtId="0" fontId="2" fillId="5" borderId="0" applyAlignment="1" pivotButton="0" quotePrefix="0" xfId="0">
      <alignment horizontal="left" vertical="top"/>
    </xf>
    <xf numFmtId="0" fontId="21" fillId="31" borderId="0" applyAlignment="1" pivotButton="0" quotePrefix="0" xfId="0">
      <alignment vertical="center" wrapText="1"/>
    </xf>
    <xf numFmtId="0" fontId="2" fillId="31" borderId="0" applyAlignment="1" pivotButton="0" quotePrefix="0" xfId="0">
      <alignment horizontal="center" vertical="center"/>
    </xf>
    <xf numFmtId="0" fontId="21" fillId="32" borderId="0" applyAlignment="1" pivotButton="0" quotePrefix="0" xfId="0">
      <alignment vertical="center" wrapText="1"/>
    </xf>
    <xf numFmtId="0" fontId="2" fillId="32" borderId="0" applyAlignment="1" pivotButton="0" quotePrefix="0" xfId="0">
      <alignment horizontal="center" vertical="center"/>
    </xf>
    <xf numFmtId="0" fontId="23" fillId="5" borderId="0" applyAlignment="1" pivotButton="0" quotePrefix="0" xfId="0">
      <alignment horizontal="center" vertical="top" wrapText="1"/>
    </xf>
    <xf numFmtId="0" fontId="2" fillId="3" borderId="0" applyAlignment="1" pivotButton="0" quotePrefix="0" xfId="0">
      <alignment vertical="top"/>
    </xf>
    <xf numFmtId="0" fontId="20" fillId="5" borderId="0" applyAlignment="1" pivotButton="0" quotePrefix="0" xfId="0">
      <alignment vertical="top"/>
    </xf>
    <xf numFmtId="0" fontId="8" fillId="5" borderId="0" pivotButton="0" quotePrefix="0" xfId="0"/>
    <xf numFmtId="0" fontId="8" fillId="9" borderId="0" pivotButton="0" quotePrefix="0" xfId="0"/>
    <xf numFmtId="0" fontId="8" fillId="9" borderId="0" applyAlignment="1" pivotButton="0" quotePrefix="0" xfId="0">
      <alignment wrapText="1"/>
    </xf>
    <xf numFmtId="0" fontId="34" fillId="0" borderId="0" applyAlignment="1" pivotButton="0" quotePrefix="0" xfId="0">
      <alignment horizontal="left"/>
    </xf>
    <xf numFmtId="0" fontId="2" fillId="0" borderId="0" applyAlignment="1" pivotButton="0" quotePrefix="0" xfId="0">
      <alignment wrapText="1"/>
    </xf>
    <xf numFmtId="0" fontId="20" fillId="0" borderId="0" applyAlignment="1" pivotButton="0" quotePrefix="0" xfId="0">
      <alignment wrapText="1"/>
    </xf>
    <xf numFmtId="0" fontId="20" fillId="0" borderId="0" applyAlignment="1" pivotButton="0" quotePrefix="0" xfId="0">
      <alignment horizontal="left" wrapText="1"/>
    </xf>
    <xf numFmtId="0" fontId="34" fillId="32" borderId="0" applyAlignment="1" pivotButton="0" quotePrefix="0" xfId="0">
      <alignment horizontal="left"/>
    </xf>
    <xf numFmtId="0" fontId="2" fillId="32" borderId="0" applyAlignment="1" pivotButton="0" quotePrefix="0" xfId="0">
      <alignment wrapText="1"/>
    </xf>
    <xf numFmtId="0" fontId="20" fillId="32" borderId="0" applyAlignment="1" pivotButton="0" quotePrefix="0" xfId="0">
      <alignment wrapText="1"/>
    </xf>
    <xf numFmtId="0" fontId="20" fillId="32" borderId="0" applyAlignment="1" pivotButton="0" quotePrefix="0" xfId="0">
      <alignment horizontal="left"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cellXfs>
  <cellStyles count="1">
    <cellStyle name="Normal" xfId="0" builtinId="0"/>
  </cellStyles>
  <dxfs count="4">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FFFFFF"/>
      </font>
      <fill>
        <patternFill patternType="solid">
          <fgColor rgb="0000B050"/>
          <bgColor rgb="0000B050"/>
        </patternFill>
      </fill>
    </dxf>
    <dxf>
      <font>
        <b val="1"/>
        <color rgb="00FFFFFF"/>
      </font>
      <fill>
        <patternFill patternType="solid">
          <fgColor rgb="00FF0000"/>
          <bgColor rgb="00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B91"/>
  <sheetViews>
    <sheetView zoomScale="100" zoomScaleNormal="100" workbookViewId="0">
      <selection activeCell="O40" sqref="O40"/>
    </sheetView>
  </sheetViews>
  <sheetFormatPr baseColWidth="8" defaultColWidth="9.140625" defaultRowHeight="15" outlineLevelRow="0"/>
  <cols>
    <col width="9.140625" customWidth="1" style="1" min="1" max="2"/>
    <col width="17.42578125" customWidth="1" style="1" min="3" max="3"/>
    <col width="40.7109375" customWidth="1" style="1" min="4" max="4"/>
    <col width="30.7109375" customWidth="1" style="1" min="5" max="8"/>
    <col width="35.85546875" customWidth="1" style="1" min="9" max="9"/>
    <col width="11.5703125" customWidth="1" style="1" min="10" max="10"/>
    <col width="4.28515625" customWidth="1" style="1" min="11" max="11"/>
    <col width="7.42578125" customWidth="1" style="1" min="12" max="12"/>
    <col width="15.7109375" customWidth="1" style="1" min="13" max="13"/>
    <col width="9.140625" customWidth="1" style="1" min="14" max="15"/>
    <col width="10.5703125" customWidth="1" style="1" min="16" max="17"/>
    <col width="9.140625" customWidth="1" style="1" min="18" max="16384"/>
  </cols>
  <sheetData>
    <row r="1">
      <c r="A1" s="2" t="n"/>
      <c r="B1" s="2" t="n"/>
      <c r="C1" s="2" t="n"/>
      <c r="D1" s="2" t="n"/>
      <c r="E1" s="2" t="n"/>
      <c r="F1" s="2" t="n"/>
      <c r="G1" s="2" t="n"/>
      <c r="H1" s="2" t="n"/>
      <c r="I1" s="2" t="n"/>
      <c r="J1" s="2" t="n"/>
      <c r="K1" s="2" t="n"/>
      <c r="M1" s="2" t="n"/>
      <c r="N1" s="2" t="n"/>
      <c r="O1" s="3" t="n"/>
      <c r="P1" s="4" t="n"/>
      <c r="Q1" s="4" t="n"/>
      <c r="R1" s="4" t="n"/>
      <c r="S1" s="4" t="n"/>
      <c r="T1" s="4" t="n"/>
      <c r="U1" s="4" t="n"/>
      <c r="V1" s="4" t="n"/>
      <c r="W1" s="4" t="n"/>
      <c r="X1" s="4" t="n"/>
      <c r="Y1" s="4" t="n"/>
      <c r="Z1" s="4" t="n"/>
      <c r="AA1" s="4" t="n"/>
      <c r="AB1" s="4" t="n"/>
    </row>
    <row r="2">
      <c r="A2" s="2" t="n"/>
      <c r="B2" s="2" t="n"/>
      <c r="C2" s="2" t="n"/>
      <c r="D2" s="2" t="n"/>
      <c r="E2" s="2" t="n"/>
      <c r="F2" s="2" t="n"/>
      <c r="G2" s="2" t="n"/>
      <c r="H2" s="2" t="n"/>
      <c r="I2" s="2" t="n"/>
      <c r="J2" s="2" t="n"/>
      <c r="K2" s="2" t="n"/>
      <c r="M2" s="2" t="n"/>
      <c r="N2" s="2" t="n"/>
      <c r="O2" s="3" t="n"/>
      <c r="P2" s="4" t="n"/>
      <c r="Q2" s="4" t="n"/>
      <c r="R2" s="4" t="n"/>
      <c r="S2" s="4" t="n"/>
      <c r="T2" s="4" t="n"/>
      <c r="U2" s="4" t="n"/>
      <c r="V2" s="4" t="n"/>
      <c r="W2" s="4" t="n"/>
      <c r="X2" s="4" t="n"/>
      <c r="Y2" s="4" t="n"/>
      <c r="Z2" s="4" t="n"/>
      <c r="AA2" s="4" t="n"/>
      <c r="AB2" s="4" t="n"/>
    </row>
    <row r="3" ht="23.25" customHeight="1">
      <c r="A3" s="2" t="n"/>
      <c r="B3" s="5" t="n"/>
      <c r="C3" s="5" t="n"/>
      <c r="D3" s="6" t="inlineStr">
        <is>
          <t>Graded Assessment Rubric</t>
        </is>
      </c>
      <c r="E3" s="7" t="n"/>
      <c r="F3" s="5" t="n"/>
      <c r="G3" s="5" t="n"/>
      <c r="H3" s="5" t="n"/>
      <c r="I3" s="5" t="n"/>
      <c r="J3" s="5" t="n"/>
      <c r="K3" s="5" t="n"/>
      <c r="M3" s="5" t="n"/>
      <c r="N3" s="2" t="n"/>
      <c r="O3" s="3" t="n"/>
      <c r="P3" s="4" t="n"/>
      <c r="Q3" s="4" t="n"/>
      <c r="R3" s="4" t="n"/>
      <c r="S3" s="4" t="n"/>
      <c r="T3" s="4" t="n"/>
      <c r="U3" s="4" t="n"/>
      <c r="V3" s="4" t="n"/>
      <c r="W3" s="4" t="n"/>
      <c r="X3" s="4" t="n"/>
      <c r="Y3" s="4" t="n"/>
      <c r="Z3" s="4" t="n"/>
      <c r="AA3" s="4" t="n"/>
      <c r="AB3" s="4" t="n"/>
    </row>
    <row r="4" ht="18.75" customHeight="1">
      <c r="A4" s="8" t="n"/>
      <c r="B4" s="9" t="n"/>
      <c r="C4" s="9" t="n"/>
      <c r="D4" s="10" t="n"/>
      <c r="E4" s="10" t="inlineStr">
        <is>
          <t>Details</t>
        </is>
      </c>
      <c r="F4" s="10" t="inlineStr">
        <is>
          <t>General feedback</t>
        </is>
      </c>
      <c r="G4" s="109" t="n"/>
      <c r="H4" s="110" t="n"/>
      <c r="I4" s="12" t="inlineStr">
        <is>
          <t>Must-pass ILO</t>
        </is>
      </c>
      <c r="J4" s="12" t="inlineStr">
        <is>
          <t>Final grade</t>
        </is>
      </c>
      <c r="K4" s="12" t="inlineStr">
        <is>
          <t>Block pass/fail</t>
        </is>
      </c>
      <c r="L4" s="110" t="n"/>
      <c r="M4" s="5" t="n"/>
      <c r="N4" s="8" t="n"/>
      <c r="O4" s="14" t="n"/>
      <c r="P4" s="15" t="n"/>
      <c r="Q4" s="15" t="n"/>
      <c r="R4" s="15" t="n"/>
      <c r="S4" s="15" t="n"/>
      <c r="T4" s="15" t="n"/>
      <c r="U4" s="15" t="n"/>
      <c r="V4" s="15" t="n"/>
      <c r="W4" s="15" t="n"/>
      <c r="X4" s="15" t="n"/>
      <c r="Y4" s="15" t="n"/>
      <c r="Z4" s="15" t="n"/>
      <c r="AA4" s="15" t="n"/>
      <c r="AB4" s="15" t="n"/>
    </row>
    <row r="5" ht="18.75" customHeight="1">
      <c r="A5" s="2" t="n"/>
      <c r="B5" s="16" t="n"/>
      <c r="C5" s="16" t="n"/>
      <c r="D5" s="10" t="inlineStr">
        <is>
          <t>Student Number</t>
        </is>
      </c>
      <c r="E5" s="17" t="inlineStr">
        <is>
          <t>fill in</t>
        </is>
      </c>
      <c r="F5" s="18" t="inlineStr">
        <is>
          <t>fill in</t>
        </is>
      </c>
      <c r="G5" s="111" t="n"/>
      <c r="H5" s="112" t="n"/>
      <c r="I5" s="20">
        <f>IF(AND(J36&gt;=0.55*L36,J41&gt;=0.55*L41,J46&gt;=0.55*L46),"PASS","FAIL")</f>
        <v/>
      </c>
      <c r="J5" s="21">
        <f>J55/10</f>
        <v/>
      </c>
      <c r="K5" s="22">
        <f>IF(AND(J5&gt;=5.5,J36&gt;=0.55*L36,J41&gt;=0.55*L41,J46&gt;=0.55*L46),"PASS","FAIL")</f>
        <v/>
      </c>
      <c r="L5" s="112" t="n"/>
      <c r="M5" s="5" t="n"/>
      <c r="N5" s="2" t="n"/>
      <c r="O5" s="3" t="n"/>
      <c r="P5" s="24" t="n"/>
      <c r="Q5" s="15" t="n"/>
      <c r="R5" s="15" t="n"/>
      <c r="S5" s="15" t="n"/>
      <c r="T5" s="15" t="n"/>
      <c r="U5" s="15" t="n"/>
      <c r="V5" s="15" t="n"/>
      <c r="W5" s="15" t="n"/>
      <c r="X5" s="15" t="n"/>
      <c r="Y5" s="15" t="n"/>
      <c r="Z5" s="15" t="n"/>
      <c r="AA5" s="15" t="n"/>
      <c r="AB5" s="15" t="n"/>
    </row>
    <row r="6" ht="18.75" customHeight="1">
      <c r="A6" s="2" t="n"/>
      <c r="B6" s="16" t="n"/>
      <c r="C6" s="16" t="n"/>
      <c r="D6" s="10" t="inlineStr">
        <is>
          <t>Student Name</t>
        </is>
      </c>
      <c r="E6" s="17" t="inlineStr">
        <is>
          <t>fill in</t>
        </is>
      </c>
      <c r="F6" s="113" t="n"/>
      <c r="H6" s="114" t="n"/>
      <c r="I6" s="115" t="n"/>
      <c r="J6" s="115" t="n"/>
      <c r="K6" s="113" t="n"/>
      <c r="L6" s="114" t="n"/>
      <c r="M6" s="5" t="n"/>
      <c r="N6" s="2" t="n"/>
      <c r="O6" s="3" t="n"/>
      <c r="P6" s="15" t="n"/>
      <c r="Q6" s="15" t="n"/>
      <c r="R6" s="15" t="n"/>
      <c r="S6" s="15" t="n"/>
      <c r="T6" s="15" t="n"/>
      <c r="U6" s="15" t="n"/>
      <c r="V6" s="15" t="n"/>
      <c r="W6" s="15" t="n"/>
      <c r="X6" s="15" t="n"/>
      <c r="Y6" s="15" t="n"/>
      <c r="Z6" s="15" t="n"/>
      <c r="AA6" s="15" t="n"/>
      <c r="AB6" s="15" t="n"/>
    </row>
    <row r="7" ht="18.75" customHeight="1">
      <c r="A7" s="2" t="n"/>
      <c r="B7" s="16" t="n"/>
      <c r="C7" s="16" t="n"/>
      <c r="D7" s="10" t="inlineStr">
        <is>
          <t>Mentor</t>
        </is>
      </c>
      <c r="E7" s="17" t="inlineStr">
        <is>
          <t>fill in</t>
        </is>
      </c>
      <c r="F7" s="113" t="n"/>
      <c r="H7" s="114" t="n"/>
      <c r="I7" s="115" t="n"/>
      <c r="J7" s="115" t="n"/>
      <c r="K7" s="113" t="n"/>
      <c r="L7" s="114" t="n"/>
      <c r="M7" s="5" t="n"/>
      <c r="N7" s="2" t="n"/>
      <c r="O7" s="3" t="n"/>
      <c r="P7" s="15" t="n"/>
      <c r="Q7" s="15" t="n"/>
      <c r="R7" s="15" t="n"/>
      <c r="S7" s="15" t="n"/>
      <c r="T7" s="15" t="n"/>
      <c r="U7" s="15" t="n"/>
      <c r="V7" s="15" t="n"/>
      <c r="W7" s="15" t="n"/>
      <c r="X7" s="15" t="n"/>
      <c r="Y7" s="15" t="n"/>
      <c r="Z7" s="15" t="n"/>
      <c r="AA7" s="15" t="n"/>
      <c r="AB7" s="15" t="n"/>
    </row>
    <row r="8" ht="18.75" customHeight="1">
      <c r="A8" s="2" t="n"/>
      <c r="B8" s="16" t="n"/>
      <c r="C8" s="16" t="n"/>
      <c r="D8" s="10" t="inlineStr">
        <is>
          <t>Project</t>
        </is>
      </c>
      <c r="E8" s="17" t="inlineStr">
        <is>
          <t>fill in</t>
        </is>
      </c>
      <c r="F8" s="113" t="n"/>
      <c r="H8" s="114" t="n"/>
      <c r="I8" s="115" t="n"/>
      <c r="J8" s="115" t="n"/>
      <c r="K8" s="113" t="n"/>
      <c r="L8" s="114" t="n"/>
      <c r="M8" s="5" t="n"/>
      <c r="N8" s="2" t="n"/>
      <c r="O8" s="3" t="n"/>
      <c r="P8" s="15" t="n"/>
      <c r="Q8" s="15" t="n"/>
      <c r="R8" s="15" t="n"/>
      <c r="S8" s="15" t="n"/>
      <c r="T8" s="15" t="n"/>
      <c r="U8" s="15" t="n"/>
      <c r="V8" s="15" t="n"/>
      <c r="W8" s="15" t="n"/>
      <c r="X8" s="15" t="n"/>
      <c r="Y8" s="15" t="n"/>
      <c r="Z8" s="15" t="n"/>
      <c r="AA8" s="15" t="n"/>
      <c r="AB8" s="15" t="n"/>
    </row>
    <row r="9" ht="18.75" customHeight="1">
      <c r="A9" s="2" t="n"/>
      <c r="B9" s="16" t="n"/>
      <c r="C9" s="16" t="n"/>
      <c r="D9" s="10" t="inlineStr">
        <is>
          <t>Opportunity</t>
        </is>
      </c>
      <c r="E9" s="17" t="inlineStr">
        <is>
          <t>fill in</t>
        </is>
      </c>
      <c r="F9" s="113" t="n"/>
      <c r="H9" s="114" t="n"/>
      <c r="I9" s="115" t="n"/>
      <c r="J9" s="115" t="n"/>
      <c r="K9" s="113" t="n"/>
      <c r="L9" s="114" t="n"/>
      <c r="M9" s="5" t="n"/>
      <c r="N9" s="2" t="n"/>
      <c r="O9" s="3" t="n"/>
      <c r="P9" s="15" t="n"/>
      <c r="Q9" s="15" t="n"/>
      <c r="R9" s="15" t="n"/>
      <c r="S9" s="15" t="n"/>
      <c r="T9" s="15" t="n"/>
      <c r="U9" s="15" t="n"/>
      <c r="V9" s="15" t="n"/>
      <c r="W9" s="15" t="n"/>
      <c r="X9" s="15" t="n"/>
      <c r="Y9" s="15" t="n"/>
      <c r="Z9" s="15" t="n"/>
      <c r="AA9" s="15" t="n"/>
      <c r="AB9" s="15" t="n"/>
    </row>
    <row r="10" ht="18.75" customHeight="1">
      <c r="A10" s="2" t="n"/>
      <c r="B10" s="5" t="n"/>
      <c r="C10" s="5" t="n"/>
      <c r="D10" s="10" t="inlineStr">
        <is>
          <t>Project Deadline</t>
        </is>
      </c>
      <c r="E10" s="17" t="inlineStr">
        <is>
          <t>fill in</t>
        </is>
      </c>
      <c r="F10" s="116" t="n"/>
      <c r="G10" s="117" t="n"/>
      <c r="H10" s="118" t="n"/>
      <c r="I10" s="119" t="n"/>
      <c r="J10" s="119" t="n"/>
      <c r="K10" s="116" t="n"/>
      <c r="L10" s="118" t="n"/>
      <c r="M10" s="5" t="n"/>
      <c r="N10" s="2" t="n"/>
      <c r="O10" s="3" t="n"/>
      <c r="P10" s="15" t="n"/>
      <c r="Q10" s="15" t="n"/>
      <c r="R10" s="15" t="n"/>
      <c r="S10" s="15" t="n"/>
      <c r="T10" s="15" t="n"/>
      <c r="U10" s="15" t="n"/>
      <c r="V10" s="15" t="n"/>
      <c r="W10" s="15" t="n"/>
      <c r="X10" s="15" t="n"/>
      <c r="Y10" s="15" t="n"/>
      <c r="Z10" s="15" t="n"/>
      <c r="AA10" s="15" t="n"/>
      <c r="AB10" s="15" t="n"/>
    </row>
    <row r="11" ht="18.75" customHeight="1">
      <c r="A11" s="2" t="n"/>
      <c r="B11" s="2" t="n"/>
      <c r="C11" s="2" t="n"/>
      <c r="D11" s="2" t="n"/>
      <c r="E11" s="2" t="n"/>
      <c r="F11" s="2" t="n"/>
      <c r="G11" s="2" t="n"/>
      <c r="H11" s="2" t="n"/>
      <c r="I11" s="2" t="n"/>
      <c r="J11" s="2" t="n"/>
      <c r="K11" s="2" t="n"/>
      <c r="L11" s="1" t="n"/>
      <c r="M11" s="2" t="n"/>
      <c r="N11" s="2" t="n"/>
      <c r="O11" s="3" t="n"/>
      <c r="P11" s="15" t="n"/>
      <c r="Q11" s="15" t="n"/>
      <c r="R11" s="15" t="n"/>
      <c r="S11" s="15" t="n"/>
      <c r="T11" s="15" t="n"/>
      <c r="U11" s="15" t="n"/>
      <c r="V11" s="15" t="n"/>
      <c r="W11" s="15" t="n"/>
      <c r="X11" s="15" t="n"/>
      <c r="Y11" s="15" t="n"/>
      <c r="Z11" s="15" t="n"/>
      <c r="AA11" s="15" t="n"/>
      <c r="AB11" s="15" t="n"/>
    </row>
    <row r="12" ht="23.25" customHeight="1">
      <c r="A12" s="2" t="n"/>
      <c r="B12" s="5" t="n"/>
      <c r="C12" s="5" t="n"/>
      <c r="D12" s="7" t="inlineStr">
        <is>
          <t>Grading Rubric</t>
        </is>
      </c>
      <c r="E12" s="5" t="n"/>
      <c r="F12" s="5" t="n"/>
      <c r="G12" s="5" t="n"/>
      <c r="H12" s="5" t="n"/>
      <c r="I12" s="5" t="n"/>
      <c r="J12" s="5" t="n"/>
      <c r="K12" s="5" t="n"/>
      <c r="M12" s="5" t="n"/>
      <c r="N12" s="2" t="n"/>
      <c r="O12" s="3" t="n"/>
      <c r="P12" s="24" t="n"/>
      <c r="Q12" s="15" t="n"/>
      <c r="R12" s="15" t="n"/>
      <c r="S12" s="15" t="n"/>
      <c r="T12" s="15" t="n"/>
      <c r="U12" s="15" t="n"/>
      <c r="V12" s="15" t="n"/>
      <c r="W12" s="15" t="n"/>
      <c r="X12" s="15" t="n"/>
      <c r="Y12" s="15" t="n"/>
      <c r="Z12" s="15" t="n"/>
      <c r="AA12" s="15" t="n"/>
      <c r="AB12" s="15" t="n"/>
    </row>
    <row r="13" ht="15" customHeight="1">
      <c r="A13" s="2" t="n"/>
      <c r="B13" s="5" t="n"/>
      <c r="C13" s="27" t="n"/>
      <c r="D13" s="27" t="n"/>
      <c r="E13" s="28" t="inlineStr">
        <is>
          <t>PRE-REQUISITES</t>
        </is>
      </c>
      <c r="F13" s="28" t="inlineStr">
        <is>
          <t>ILO COMPONENTS</t>
        </is>
      </c>
      <c r="J13" s="28" t="inlineStr">
        <is>
          <t>Score</t>
        </is>
      </c>
      <c r="K13" s="28" t="n"/>
      <c r="L13" s="28" t="inlineStr">
        <is>
          <t>Total</t>
        </is>
      </c>
      <c r="M13" s="29" t="n"/>
      <c r="N13" s="2" t="n"/>
      <c r="O13" s="4" t="n"/>
      <c r="P13" s="15" t="n"/>
      <c r="Q13" s="15" t="n"/>
      <c r="R13" s="15" t="n"/>
      <c r="S13" s="15" t="n"/>
      <c r="T13" s="15" t="n"/>
      <c r="U13" s="15" t="n"/>
      <c r="V13" s="15" t="n"/>
      <c r="W13" s="15" t="n"/>
      <c r="X13" s="15" t="n"/>
      <c r="Y13" s="15" t="n"/>
      <c r="Z13" s="15" t="n"/>
      <c r="AA13" s="15" t="n"/>
      <c r="AB13" s="15" t="n"/>
    </row>
    <row r="14" ht="42" customHeight="1">
      <c r="A14" s="2" t="n"/>
      <c r="B14" s="30" t="n"/>
      <c r="C14" s="31" t="inlineStr">
        <is>
          <t>ILO 1</t>
        </is>
      </c>
      <c r="D14" s="32" t="inlineStr">
        <is>
          <t xml:space="preserve">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is>
      </c>
      <c r="K14" s="32" t="n"/>
      <c r="L14" s="33" t="n"/>
      <c r="M14" s="34" t="n"/>
      <c r="N14" s="2" t="n"/>
      <c r="O14" s="4" t="n"/>
      <c r="P14" s="4" t="n"/>
      <c r="Q14" s="4" t="n"/>
      <c r="R14" s="4" t="n"/>
      <c r="S14" s="4" t="n"/>
      <c r="T14" s="4" t="n"/>
      <c r="U14" s="4" t="n"/>
      <c r="V14" s="4" t="n"/>
      <c r="W14" s="4" t="n"/>
      <c r="X14" s="4" t="n"/>
      <c r="Y14" s="4" t="n"/>
      <c r="Z14" s="4" t="n"/>
      <c r="AA14" s="4" t="n"/>
      <c r="AB14" s="4" t="n"/>
    </row>
    <row r="15" ht="18.75" customHeight="1">
      <c r="A15" s="2" t="n"/>
      <c r="B15" s="30" t="n"/>
      <c r="C15" s="31" t="n"/>
      <c r="D15" s="32" t="n"/>
      <c r="E15" s="35" t="inlineStr">
        <is>
          <t>pre-requisites</t>
        </is>
      </c>
      <c r="F15" s="35" t="inlineStr">
        <is>
          <t>A: 10 points</t>
        </is>
      </c>
      <c r="J15" s="32" t="n"/>
      <c r="K15" s="32" t="n"/>
      <c r="L15" s="32" t="n"/>
      <c r="M15" s="34" t="n"/>
      <c r="N15" s="2" t="n"/>
      <c r="O15" s="4" t="n"/>
      <c r="P15" s="4" t="n"/>
      <c r="Q15" s="4" t="n"/>
      <c r="R15" s="4" t="n"/>
      <c r="S15" s="4" t="n"/>
      <c r="T15" s="4" t="n"/>
      <c r="U15" s="4" t="n"/>
      <c r="V15" s="4" t="n"/>
      <c r="W15" s="4" t="n"/>
      <c r="X15" s="4" t="n"/>
      <c r="Y15" s="4" t="n"/>
      <c r="Z15" s="4" t="n"/>
      <c r="AA15" s="4" t="n"/>
      <c r="AB15" s="4" t="n"/>
    </row>
    <row r="16" ht="96.59999999999999" customHeight="1">
      <c r="A16" s="2" t="n"/>
      <c r="B16" s="30" t="n"/>
      <c r="C16" s="36" t="inlineStr">
        <is>
          <t xml:space="preserve">Dublin descriptor: </t>
        </is>
      </c>
      <c r="D16" s="37" t="inlineStr">
        <is>
          <t xml:space="preserve">1.8 The student submits work to a professional standard. </t>
        </is>
      </c>
      <c r="E16" s="38" t="inlineStr">
        <is>
          <t>The student submits a complete learning log, work log, and self-assessment rubric. The student exhibits professional behaviour during DataLab sessions. The student meets all requirements for end of block challenges.</t>
        </is>
      </c>
      <c r="F16" s="39" t="inlineStr">
        <is>
          <t>The student is able to produce and submit work that meets professional standards across all formats including code, reports, presentations, and peer reviews. All deliverables demonstrate a consistent level of polish, audience-awareness, and attention to detail. Reports are structured, formal, and free from casual language. Presentations are thoughtfully designed, visually appealing, and tailored to the intended audience. Code repositories are well-organised with clear README files, installation instructions, and usage examples. Project documentation is comprehensive, accessible, and appropriate for the intended audience. Peer reviews are conducted respectfully and constructively. Worklogs and learning logs are consistently maintained, detailed, and reflective, effectively capturing daily progress, key actions, and critical insights.</t>
        </is>
      </c>
      <c r="J16" s="41">
        <f>IF(E17="yes",SUM(F17:I17),0)</f>
        <v/>
      </c>
      <c r="K16" s="41" t="inlineStr">
        <is>
          <t>/</t>
        </is>
      </c>
      <c r="L16" s="41" t="n">
        <v>10</v>
      </c>
      <c r="M16" s="34" t="n"/>
      <c r="N16" s="2" t="n"/>
      <c r="O16" s="4" t="n"/>
      <c r="P16" s="4" t="n"/>
      <c r="Q16" s="4" t="n"/>
      <c r="R16" s="4" t="n"/>
      <c r="S16" s="4" t="n"/>
      <c r="T16" s="4" t="n"/>
      <c r="U16" s="4" t="n"/>
      <c r="V16" s="4" t="n"/>
      <c r="W16" s="4" t="n"/>
      <c r="X16" s="4" t="n"/>
      <c r="Y16" s="4" t="n"/>
      <c r="Z16" s="4" t="n"/>
      <c r="AA16" s="4" t="n"/>
      <c r="AB16" s="4" t="n"/>
    </row>
    <row r="17" ht="18.75" customHeight="1">
      <c r="A17" s="2" t="n"/>
      <c r="B17" s="30" t="n"/>
      <c r="C17" s="36" t="n"/>
      <c r="D17" s="42" t="inlineStr">
        <is>
          <t xml:space="preserve">select points: </t>
        </is>
      </c>
      <c r="E17" s="43" t="inlineStr">
        <is>
          <t>yes</t>
        </is>
      </c>
      <c r="F17" s="44" t="n">
        <v>0</v>
      </c>
      <c r="M17" s="34" t="n"/>
      <c r="N17" s="2" t="n"/>
      <c r="O17" s="4" t="n"/>
      <c r="P17" s="4" t="n"/>
      <c r="Q17" s="4" t="n"/>
      <c r="R17" s="4" t="n"/>
      <c r="S17" s="4" t="n"/>
      <c r="T17" s="4" t="n"/>
      <c r="U17" s="4" t="n"/>
      <c r="V17" s="4" t="n"/>
      <c r="W17" s="4" t="n"/>
      <c r="X17" s="4" t="n"/>
      <c r="Y17" s="4" t="n"/>
      <c r="Z17" s="4" t="n"/>
      <c r="AA17" s="4" t="n"/>
      <c r="AB17" s="4" t="n"/>
    </row>
    <row r="18" ht="64" customHeight="1">
      <c r="A18" s="45" t="n"/>
      <c r="B18" s="46" t="n"/>
      <c r="C18" s="47" t="n"/>
      <c r="D18" s="48" t="inlineStr">
        <is>
          <t>Comments:</t>
        </is>
      </c>
      <c r="E18" s="47" t="n"/>
      <c r="F18" s="49" t="n"/>
      <c r="J18" s="47" t="n"/>
      <c r="K18" s="47" t="n"/>
      <c r="L18" s="47" t="n"/>
      <c r="M18" s="46" t="n"/>
      <c r="N18" s="45" t="n"/>
    </row>
    <row r="19" ht="42" customHeight="1">
      <c r="A19" s="2" t="n"/>
      <c r="B19" s="30" t="n"/>
      <c r="C19" s="31" t="inlineStr">
        <is>
          <t>ILO 2</t>
        </is>
      </c>
      <c r="D19" s="32" t="inlineStr">
        <is>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is>
      </c>
      <c r="K19" s="32" t="n"/>
      <c r="L19" s="33" t="n"/>
      <c r="M19" s="34" t="n"/>
      <c r="N19" s="2" t="n"/>
      <c r="O19" s="4" t="n"/>
      <c r="P19" s="4" t="n"/>
      <c r="Q19" s="4" t="n"/>
      <c r="R19" s="4" t="n"/>
      <c r="S19" s="4" t="n"/>
      <c r="T19" s="4" t="n"/>
      <c r="U19" s="4" t="n"/>
      <c r="V19" s="4" t="n"/>
      <c r="W19" s="4" t="n"/>
      <c r="X19" s="4" t="n"/>
      <c r="Y19" s="4" t="n"/>
      <c r="Z19" s="4" t="n"/>
      <c r="AA19" s="4" t="n"/>
      <c r="AB19" s="4" t="n"/>
    </row>
    <row r="20" ht="18.75" customHeight="1">
      <c r="A20" s="2" t="n"/>
      <c r="B20" s="30" t="n"/>
      <c r="C20" s="31" t="n"/>
      <c r="D20" s="32" t="n"/>
      <c r="E20" s="35" t="inlineStr">
        <is>
          <t>pre-requisites</t>
        </is>
      </c>
      <c r="F20" s="35" t="inlineStr">
        <is>
          <t>A: 3 points</t>
        </is>
      </c>
      <c r="G20" s="35" t="inlineStr">
        <is>
          <t>B: 3 points</t>
        </is>
      </c>
      <c r="H20" s="35" t="inlineStr">
        <is>
          <t>C: 4 points</t>
        </is>
      </c>
      <c r="J20" s="32" t="n"/>
      <c r="K20" s="32" t="n"/>
      <c r="L20" s="32" t="n"/>
      <c r="M20" s="34" t="n"/>
      <c r="N20" s="2" t="n"/>
      <c r="O20" s="4" t="n"/>
      <c r="P20" s="4" t="n"/>
      <c r="Q20" s="4" t="n"/>
      <c r="R20" s="4" t="n"/>
      <c r="S20" s="4" t="n"/>
      <c r="T20" s="4" t="n"/>
      <c r="U20" s="4" t="n"/>
      <c r="V20" s="4" t="n"/>
      <c r="W20" s="4" t="n"/>
      <c r="X20" s="4" t="n"/>
      <c r="Y20" s="4" t="n"/>
      <c r="Z20" s="4" t="n"/>
      <c r="AA20" s="4" t="n"/>
      <c r="AB20" s="4" t="n"/>
    </row>
    <row r="21" ht="213.75" customHeight="1">
      <c r="A21" s="2" t="n"/>
      <c r="B21" s="30" t="n"/>
      <c r="C21" s="36" t="inlineStr">
        <is>
          <t xml:space="preserve">Dublin descriptor: </t>
        </is>
      </c>
      <c r="D21" s="37" t="inlineStr">
        <is>
          <t xml:space="preserve">2.8 The student is able to to recognize, understand, and manage their own emotions, as well as their ability to recognize, understand, and influence the emotions of others leading to considerate goal-setting and decision making and stress-management. </t>
        </is>
      </c>
      <c r="E21" s="38" t="inlineStr">
        <is>
          <t>The student submits a complete learning log, work log, and self-assessment rubric. The student exhibits professional behaviour during DataLab sessions. The student meets all requirements for end of block challenges.</t>
        </is>
      </c>
      <c r="F21" s="50" t="inlineStr">
        <is>
          <t xml:space="preserve">The student is able to recognize, understand and manage their own emotions as evidenced by their peer review. The student is able on their capacity to self-monitor their emotions, such as stress, and create concrete action points which they actively pursue. </t>
        </is>
      </c>
      <c r="G21" s="51" t="inlineStr">
        <is>
          <t>The student is able to recognize, understand and manage the emtions of others as evidenced by their peer review. The student is able to empathically reflect on the emtional conduct of others and provide constructive action points and support to improve the emotional conduct of other such as stress reduction.</t>
        </is>
      </c>
      <c r="H21" s="52" t="inlineStr">
        <is>
          <t>The student is able to make appropriate decisions to further the progress of their own goals and those of others. The decisions of the student further the progress of the project and improve the quality of the team dynamics while keeping the needs and emotions of themselves and others in consideration leading to better individual, team &amp; project outcomes.</t>
        </is>
      </c>
      <c r="J21" s="41">
        <f>IF(E22="yes",SUM(F22:I22),0)</f>
        <v/>
      </c>
      <c r="K21" s="41" t="inlineStr">
        <is>
          <t>/</t>
        </is>
      </c>
      <c r="L21" s="41" t="n">
        <v>10</v>
      </c>
      <c r="M21" s="34" t="n"/>
      <c r="N21" s="2" t="n"/>
      <c r="O21" s="4" t="n"/>
      <c r="P21" s="4" t="n"/>
      <c r="Q21" s="4" t="n"/>
      <c r="R21" s="4" t="n"/>
      <c r="S21" s="4" t="n"/>
      <c r="T21" s="4" t="n"/>
      <c r="U21" s="4" t="n"/>
      <c r="V21" s="4" t="n"/>
      <c r="W21" s="4" t="n"/>
      <c r="X21" s="4" t="n"/>
      <c r="Y21" s="4" t="n"/>
      <c r="Z21" s="4" t="n"/>
      <c r="AA21" s="4" t="n"/>
      <c r="AB21" s="4" t="n"/>
    </row>
    <row r="22" ht="18.75" customHeight="1">
      <c r="A22" s="2" t="n"/>
      <c r="B22" s="30" t="n"/>
      <c r="C22" s="36" t="n"/>
      <c r="D22" s="42" t="inlineStr">
        <is>
          <t xml:space="preserve">select points: </t>
        </is>
      </c>
      <c r="E22" s="43" t="inlineStr">
        <is>
          <t>yes</t>
        </is>
      </c>
      <c r="F22" s="43" t="n">
        <v>0</v>
      </c>
      <c r="G22" s="43" t="n">
        <v>0</v>
      </c>
      <c r="H22" s="43" t="n">
        <v>0</v>
      </c>
      <c r="M22" s="34" t="n"/>
      <c r="N22" s="2" t="n"/>
      <c r="O22" s="4" t="n"/>
      <c r="P22" s="4" t="n"/>
      <c r="Q22" s="4" t="n"/>
      <c r="R22" s="4" t="n"/>
      <c r="S22" s="4" t="n"/>
      <c r="T22" s="4" t="n"/>
      <c r="U22" s="4" t="n"/>
      <c r="V22" s="4" t="n"/>
      <c r="W22" s="4" t="n"/>
      <c r="X22" s="4" t="n"/>
      <c r="Y22" s="4" t="n"/>
      <c r="Z22" s="4" t="n"/>
      <c r="AA22" s="4" t="n"/>
      <c r="AB22" s="4" t="n"/>
    </row>
    <row r="23" ht="64" customHeight="1">
      <c r="A23" s="45" t="n"/>
      <c r="B23" s="46" t="n"/>
      <c r="C23" s="47" t="n"/>
      <c r="D23" s="48" t="inlineStr">
        <is>
          <t>Comments:</t>
        </is>
      </c>
      <c r="E23" s="47" t="n"/>
      <c r="F23" s="49" t="n"/>
      <c r="G23" s="49" t="n"/>
      <c r="H23" s="49" t="n"/>
      <c r="J23" s="47" t="n"/>
      <c r="K23" s="47" t="n"/>
      <c r="L23" s="47" t="n"/>
      <c r="M23" s="46" t="n"/>
      <c r="N23" s="45" t="n"/>
    </row>
    <row r="24" ht="42" customHeight="1">
      <c r="A24" s="2" t="n"/>
      <c r="B24" s="30" t="n"/>
      <c r="C24" s="31" t="inlineStr">
        <is>
          <t>ILO 4</t>
        </is>
      </c>
      <c r="D24" s="53" t="inlineStr">
        <is>
          <t xml:space="preserve">Problem Analysis. The student can analyze a problem by describing the context, trade-offs and formulation of the final demand (as a result of a process of demand articulation). In doing so, they identify the possible solutions. As a result, they can formulate an approach for a data trajectory considering relevant actors and interests, involving relevant theories and (technical) possibilities. </t>
        </is>
      </c>
      <c r="J24" s="54" t="n"/>
      <c r="K24" s="54" t="n"/>
      <c r="L24" s="33" t="n"/>
      <c r="M24" s="34" t="n"/>
      <c r="N24" s="2" t="n"/>
      <c r="O24" s="4" t="n"/>
      <c r="P24" s="4" t="n"/>
      <c r="Q24" s="4" t="n"/>
      <c r="R24" s="4" t="n"/>
      <c r="S24" s="4" t="n"/>
      <c r="T24" s="4" t="n"/>
      <c r="U24" s="4" t="n"/>
      <c r="V24" s="4" t="n"/>
      <c r="W24" s="4" t="n"/>
      <c r="X24" s="4" t="n"/>
      <c r="Y24" s="4" t="n"/>
      <c r="Z24" s="4" t="n"/>
      <c r="AA24" s="4" t="n"/>
      <c r="AB24" s="4" t="n"/>
    </row>
    <row r="25" ht="18.75" customHeight="1">
      <c r="A25" s="2" t="n"/>
      <c r="B25" s="30" t="n"/>
      <c r="C25" s="31" t="n"/>
      <c r="D25" s="32" t="n"/>
      <c r="E25" s="35" t="inlineStr">
        <is>
          <t>pre-requisites</t>
        </is>
      </c>
      <c r="F25" s="35" t="inlineStr">
        <is>
          <t>A: 5 points</t>
        </is>
      </c>
      <c r="H25" s="35" t="inlineStr">
        <is>
          <t>B: 5 points</t>
        </is>
      </c>
      <c r="J25" s="32" t="n"/>
      <c r="K25" s="32" t="n"/>
      <c r="L25" s="32" t="n"/>
      <c r="M25" s="34" t="n"/>
      <c r="N25" s="2" t="n"/>
      <c r="O25" s="4" t="n"/>
      <c r="P25" s="4" t="n"/>
      <c r="Q25" s="4" t="n"/>
      <c r="R25" s="4" t="n"/>
      <c r="S25" s="4" t="n"/>
      <c r="T25" s="4" t="n"/>
      <c r="U25" s="4" t="n"/>
      <c r="V25" s="4" t="n"/>
      <c r="W25" s="4" t="n"/>
      <c r="X25" s="4" t="n"/>
      <c r="Y25" s="4" t="n"/>
      <c r="Z25" s="4" t="n"/>
      <c r="AA25" s="4" t="n"/>
      <c r="AB25" s="4" t="n"/>
    </row>
    <row r="26" ht="174.75" customHeight="1">
      <c r="A26" s="2" t="n"/>
      <c r="B26" s="30" t="n"/>
      <c r="C26" s="36" t="inlineStr">
        <is>
          <t xml:space="preserve">Dublin descriptor: </t>
        </is>
      </c>
      <c r="D26" s="37" t="inlineStr">
        <is>
          <t>4.4 The student is able to propose a design and plan for a ML application architecture and data pipeline and evaluating the financial costs of the application.</t>
        </is>
      </c>
      <c r="E26" s="55" t="inlineStr">
        <is>
          <t>The student submits a complete learning log, work log, and self-assessment rubric. The student exhibits professional behaviour during DataLab sessions.</t>
        </is>
      </c>
      <c r="F26" s="56" t="inlineStr">
        <is>
          <t>The student demonstrates the ability to design and plan a cloud-based ML application architecture and data pipeline that addresses the creative brief requirements.</t>
        </is>
      </c>
      <c r="H26" s="57" t="inlineStr">
        <is>
          <t>The student demonstrates the ability to evaluate the financial costs of the proposed cloud-based ML applications, employing cost-effective resource management and monitoring strategies to balance performance and budget constraints.</t>
        </is>
      </c>
      <c r="J26" s="41">
        <f>IF(E27="yes",SUM(F27:I27),0)</f>
        <v/>
      </c>
      <c r="K26" s="41" t="inlineStr">
        <is>
          <t>/</t>
        </is>
      </c>
      <c r="L26" s="41" t="n">
        <v>10</v>
      </c>
      <c r="M26" s="34" t="n"/>
      <c r="N26" s="2" t="n"/>
      <c r="O26" s="4" t="n"/>
      <c r="P26" s="4" t="n"/>
      <c r="Q26" s="4" t="n"/>
      <c r="R26" s="4" t="n"/>
      <c r="S26" s="4" t="n"/>
      <c r="T26" s="4" t="n"/>
      <c r="U26" s="4" t="n"/>
      <c r="V26" s="4" t="n"/>
      <c r="W26" s="4" t="n"/>
      <c r="X26" s="4" t="n"/>
      <c r="Y26" s="4" t="n"/>
      <c r="Z26" s="4" t="n"/>
      <c r="AA26" s="4" t="n"/>
      <c r="AB26" s="4" t="n"/>
    </row>
    <row r="27" ht="24" customHeight="1">
      <c r="A27" s="2" t="n"/>
      <c r="B27" s="30" t="n"/>
      <c r="C27" s="36" t="n"/>
      <c r="D27" s="42" t="inlineStr">
        <is>
          <t xml:space="preserve">select points: </t>
        </is>
      </c>
      <c r="E27" s="43" t="inlineStr">
        <is>
          <t>yes</t>
        </is>
      </c>
      <c r="F27" s="43" t="n">
        <v>0</v>
      </c>
      <c r="H27" s="43" t="n">
        <v>0</v>
      </c>
      <c r="M27" s="34" t="n"/>
      <c r="N27" s="2" t="n"/>
      <c r="O27" s="4" t="n"/>
      <c r="P27" s="4" t="n"/>
      <c r="Q27" s="4" t="n"/>
      <c r="R27" s="4" t="n"/>
      <c r="S27" s="4" t="n"/>
      <c r="T27" s="4" t="n"/>
      <c r="U27" s="4" t="n"/>
      <c r="V27" s="4" t="n"/>
      <c r="W27" s="4" t="n"/>
      <c r="X27" s="4" t="n"/>
      <c r="Y27" s="4" t="n"/>
      <c r="Z27" s="4" t="n"/>
      <c r="AA27" s="4" t="n"/>
      <c r="AB27" s="4" t="n"/>
    </row>
    <row r="28" ht="64" customHeight="1">
      <c r="A28" s="45" t="n"/>
      <c r="B28" s="46" t="n"/>
      <c r="C28" s="47" t="n"/>
      <c r="D28" s="48" t="inlineStr">
        <is>
          <t>Comments:</t>
        </is>
      </c>
      <c r="E28" s="47" t="n"/>
      <c r="F28" s="49" t="n"/>
      <c r="H28" s="49" t="n"/>
      <c r="J28" s="47" t="n"/>
      <c r="K28" s="47" t="n"/>
      <c r="L28" s="47" t="n"/>
      <c r="M28" s="46" t="n"/>
      <c r="N28" s="45" t="n"/>
    </row>
    <row r="29" ht="42" customHeight="1">
      <c r="A29" s="2" t="n"/>
      <c r="B29" s="30" t="n"/>
      <c r="C29" s="31" t="inlineStr">
        <is>
          <t>ILO 8</t>
        </is>
      </c>
      <c r="D29" s="53" t="inlineStr">
        <is>
          <t xml:space="preserve">Modelling. The student can apply modelling techniques including Machine Learning and AI to create value for individuals, organizations and domains. </t>
        </is>
      </c>
      <c r="K29" s="53" t="n"/>
      <c r="L29" s="33" t="n"/>
      <c r="M29" s="34" t="n"/>
      <c r="N29" s="2" t="n"/>
      <c r="O29" s="4" t="n"/>
      <c r="P29" s="4" t="n"/>
      <c r="Q29" s="4" t="n"/>
      <c r="R29" s="4" t="n"/>
      <c r="S29" s="4" t="n"/>
      <c r="T29" s="4" t="n"/>
      <c r="U29" s="4" t="n"/>
      <c r="V29" s="4" t="n"/>
      <c r="W29" s="4" t="n"/>
      <c r="X29" s="4" t="n"/>
      <c r="Y29" s="4" t="n"/>
      <c r="Z29" s="4" t="n"/>
      <c r="AA29" s="4" t="n"/>
      <c r="AB29" s="4" t="n"/>
    </row>
    <row r="30" ht="18.75" customHeight="1">
      <c r="A30" s="2" t="n"/>
      <c r="B30" s="30" t="n"/>
      <c r="C30" s="31" t="n"/>
      <c r="D30" s="32" t="n"/>
      <c r="E30" s="35" t="inlineStr">
        <is>
          <t>pre-requisites</t>
        </is>
      </c>
      <c r="F30" s="35" t="inlineStr">
        <is>
          <t>A: 4 points</t>
        </is>
      </c>
      <c r="H30" s="35" t="inlineStr">
        <is>
          <t>B: 6 points</t>
        </is>
      </c>
      <c r="J30" s="32" t="n"/>
      <c r="K30" s="32" t="n"/>
      <c r="L30" s="32" t="n"/>
      <c r="M30" s="34" t="n"/>
      <c r="N30" s="2" t="n"/>
      <c r="O30" s="4" t="n"/>
      <c r="P30" s="4" t="n"/>
      <c r="Q30" s="4" t="n"/>
      <c r="R30" s="4" t="n"/>
      <c r="S30" s="4" t="n"/>
      <c r="T30" s="4" t="n"/>
      <c r="U30" s="4" t="n"/>
      <c r="V30" s="4" t="n"/>
      <c r="W30" s="4" t="n"/>
      <c r="X30" s="4" t="n"/>
      <c r="Y30" s="4" t="n"/>
      <c r="Z30" s="4" t="n"/>
      <c r="AA30" s="4" t="n"/>
      <c r="AB30" s="4" t="n"/>
    </row>
    <row r="31" ht="165.75" customHeight="1">
      <c r="A31" s="2" t="n"/>
      <c r="B31" s="30" t="n"/>
      <c r="C31" s="36" t="inlineStr">
        <is>
          <t xml:space="preserve">Dublin descriptor: </t>
        </is>
      </c>
      <c r="D31" s="37" t="inlineStr">
        <is>
          <t>8.9 The student demonstrates the ability to train machine learning models on multiple platforms both locally and in the cloud making use of appropriate resources, platforms and automation tools.</t>
        </is>
      </c>
      <c r="E31" s="55" t="inlineStr">
        <is>
          <t>The student submits a complete learning log, work log, and self-assessment rubric. The student exhibits professional behaviour during DataLab sessions.</t>
        </is>
      </c>
      <c r="F31" s="52" t="inlineStr">
        <is>
          <t>The student demonstrates the ability to train models both locally and on an appropriate cloud platform using industry standard libararies to track key training and evaluation metrics. The student demonstrates the ability to use version control techniques and tools in the context of ML Models.</t>
        </is>
      </c>
      <c r="H31" s="57" t="inlineStr">
        <is>
          <t>The student trains and evaluates multiple model architectures including custom and existing open-source models on cloud ML platforms. The student builds training and evaluation pipelines incorporating automated hyperparameter tuning and conditional model registration. Experiment tracking with advanced automated metric logging and visualisation is used to log key training and evaluation metrics, including learning curves and example outputs. The student demonstrates the ability to schedule or trigger pipelines based on appropriate criteria.</t>
        </is>
      </c>
      <c r="J31" s="41">
        <f>IF(E32="yes",SUM(F32:I32),0)</f>
        <v/>
      </c>
      <c r="K31" s="41" t="inlineStr">
        <is>
          <t>/</t>
        </is>
      </c>
      <c r="L31" s="41" t="n">
        <v>10</v>
      </c>
      <c r="M31" s="34" t="n"/>
      <c r="N31" s="2" t="n"/>
      <c r="O31" s="4" t="n"/>
      <c r="P31" s="4" t="n"/>
      <c r="Q31" s="4" t="n"/>
      <c r="R31" s="4" t="n"/>
      <c r="S31" s="4" t="n"/>
      <c r="T31" s="4" t="n"/>
      <c r="U31" s="4" t="n"/>
      <c r="V31" s="4" t="n"/>
      <c r="W31" s="4" t="n"/>
      <c r="X31" s="4" t="n"/>
      <c r="Y31" s="4" t="n"/>
      <c r="Z31" s="4" t="n"/>
      <c r="AA31" s="4" t="n"/>
      <c r="AB31" s="4" t="n"/>
    </row>
    <row r="32" ht="18.75" customHeight="1">
      <c r="A32" s="2" t="n"/>
      <c r="B32" s="30" t="n"/>
      <c r="C32" s="36" t="n"/>
      <c r="D32" s="42" t="inlineStr">
        <is>
          <t xml:space="preserve">select points: </t>
        </is>
      </c>
      <c r="E32" s="43" t="inlineStr">
        <is>
          <t>yes</t>
        </is>
      </c>
      <c r="F32" s="43" t="n">
        <v>0</v>
      </c>
      <c r="H32" s="43" t="n">
        <v>0</v>
      </c>
      <c r="M32" s="34" t="n"/>
      <c r="N32" s="2" t="n"/>
      <c r="O32" s="4" t="n"/>
      <c r="P32" s="4" t="n"/>
      <c r="Q32" s="4" t="n"/>
      <c r="R32" s="4" t="n"/>
      <c r="S32" s="4" t="n"/>
      <c r="T32" s="4" t="n"/>
      <c r="U32" s="4" t="n"/>
      <c r="V32" s="4" t="n"/>
      <c r="W32" s="4" t="n"/>
      <c r="X32" s="4" t="n"/>
      <c r="Y32" s="4" t="n"/>
      <c r="Z32" s="4" t="n"/>
      <c r="AA32" s="4" t="n"/>
      <c r="AB32" s="4" t="n"/>
    </row>
    <row r="33" ht="64" customHeight="1">
      <c r="A33" s="45" t="n"/>
      <c r="B33" s="46" t="n"/>
      <c r="C33" s="47" t="n"/>
      <c r="D33" s="48" t="inlineStr">
        <is>
          <t>Comments:</t>
        </is>
      </c>
      <c r="E33" s="47" t="n"/>
      <c r="F33" s="49" t="n"/>
      <c r="H33" s="49" t="n"/>
      <c r="J33" s="47" t="n"/>
      <c r="K33" s="47" t="n"/>
      <c r="L33" s="47" t="n"/>
      <c r="M33" s="46" t="n"/>
      <c r="N33" s="45" t="n"/>
    </row>
    <row r="34" ht="42" customHeight="1">
      <c r="A34" s="2" t="n"/>
      <c r="B34" s="30" t="n"/>
      <c r="C34" s="31" t="inlineStr">
        <is>
          <t>ILO 9</t>
        </is>
      </c>
      <c r="D34" s="53" t="inlineStr">
        <is>
          <t xml:space="preserve">Design, Prototyping and Implementation. The student can develop a prototype using an iterative cycle, explicitly involving stakeholders, and implement applications within an (existing) architecture. </t>
        </is>
      </c>
      <c r="K34" s="53" t="n"/>
      <c r="L34" s="33" t="n"/>
      <c r="M34" s="34" t="n"/>
      <c r="N34" s="2" t="n"/>
      <c r="O34" s="4" t="n"/>
      <c r="P34" s="4" t="n"/>
      <c r="Q34" s="4" t="n"/>
      <c r="R34" s="4" t="n"/>
      <c r="S34" s="4" t="n"/>
      <c r="T34" s="4" t="n"/>
      <c r="U34" s="4" t="n"/>
      <c r="V34" s="4" t="n"/>
      <c r="W34" s="4" t="n"/>
      <c r="X34" s="4" t="n"/>
      <c r="Y34" s="4" t="n"/>
      <c r="Z34" s="4" t="n"/>
      <c r="AA34" s="4" t="n"/>
      <c r="AB34" s="4" t="n"/>
    </row>
    <row r="35" ht="18.75" customHeight="1">
      <c r="A35" s="2" t="n"/>
      <c r="B35" s="30" t="n"/>
      <c r="C35" s="31" t="n"/>
      <c r="D35" s="32" t="n"/>
      <c r="E35" s="35" t="inlineStr">
        <is>
          <t>pre-requisites</t>
        </is>
      </c>
      <c r="F35" s="35" t="inlineStr">
        <is>
          <t>A: 5 points</t>
        </is>
      </c>
      <c r="G35" s="35" t="inlineStr">
        <is>
          <t>B: 5 points</t>
        </is>
      </c>
      <c r="H35" s="35" t="inlineStr">
        <is>
          <t>C: 5 points</t>
        </is>
      </c>
      <c r="J35" s="32" t="n"/>
      <c r="K35" s="32" t="n"/>
      <c r="L35" s="32" t="n"/>
      <c r="M35" s="34" t="n"/>
      <c r="N35" s="2" t="n"/>
      <c r="O35" s="4" t="n"/>
      <c r="P35" s="4" t="n"/>
      <c r="Q35" s="4" t="n"/>
      <c r="R35" s="4" t="n"/>
      <c r="S35" s="4" t="n"/>
      <c r="T35" s="4" t="n"/>
      <c r="U35" s="4" t="n"/>
      <c r="V35" s="4" t="n"/>
      <c r="W35" s="4" t="n"/>
      <c r="X35" s="4" t="n"/>
      <c r="Y35" s="4" t="n"/>
      <c r="Z35" s="4" t="n"/>
      <c r="AA35" s="4" t="n"/>
      <c r="AB35" s="4" t="n"/>
    </row>
    <row r="36" ht="135" customHeight="1">
      <c r="A36" s="2" t="n"/>
      <c r="B36" s="30" t="n"/>
      <c r="C36" s="58" t="inlineStr">
        <is>
          <t xml:space="preserve">Dublin descriptor: </t>
        </is>
      </c>
      <c r="D36" s="59" t="inlineStr">
        <is>
          <t>9.3 The student demonstrates the ability to produce high quality code that adheres to industry standards. The code is packaged in such a way that it can be used by stakeholders outside of the development environment.</t>
        </is>
      </c>
      <c r="E36" s="38" t="inlineStr">
        <is>
          <t>The student submits a complete learning log, work log, and self-assessment rubric. The student exhibits professional behaviour during DataLab sessions. Clear individual contribution to this ILO is documented.</t>
        </is>
      </c>
      <c r="F36" s="50" t="inlineStr">
        <is>
          <t xml:space="preserve">The student demonstrates the ability to write production ready code that adheres to industry technical standards for readability, logging, and error handling. Code must have function-specific docstrings that enhance clarity and usability. Code conforms to industry standard style guidelines and passes applicable linting and/or formatting checks. </t>
        </is>
      </c>
      <c r="G36" s="60" t="inlineStr">
        <is>
          <t>The student is able to document their code in a clear and professional manner. The documentation must include detailed usage instructions, installation instructions and examples.</t>
        </is>
      </c>
      <c r="H36" s="56" t="inlineStr">
        <is>
          <t xml:space="preserve">The student is able to create comprehensive unit tests designed to achieve coverage levels that meet client requirements and ensure code reliability. Tests are written for all key functions and modules. </t>
        </is>
      </c>
      <c r="J36" s="41">
        <f>IF(E37="yes",SUM(F37:I37),0)</f>
        <v/>
      </c>
      <c r="K36" s="61" t="inlineStr">
        <is>
          <t>/</t>
        </is>
      </c>
      <c r="L36" s="61" t="n">
        <v>15</v>
      </c>
      <c r="M36" s="34" t="n"/>
      <c r="N36" s="2" t="n"/>
      <c r="O36" s="4" t="n"/>
      <c r="P36" s="4" t="n"/>
      <c r="Q36" s="4" t="n"/>
      <c r="R36" s="4" t="n"/>
      <c r="S36" s="4" t="n"/>
      <c r="T36" s="4" t="n"/>
      <c r="U36" s="4" t="n"/>
      <c r="V36" s="4" t="n"/>
      <c r="W36" s="4" t="n"/>
      <c r="X36" s="4" t="n"/>
      <c r="Y36" s="4" t="n"/>
      <c r="Z36" s="4" t="n"/>
      <c r="AA36" s="4" t="n"/>
      <c r="AB36" s="4" t="n"/>
    </row>
    <row r="37" ht="18.75" customHeight="1">
      <c r="A37" s="2" t="n"/>
      <c r="B37" s="30" t="n"/>
      <c r="C37" s="58" t="n"/>
      <c r="D37" s="62" t="inlineStr">
        <is>
          <t xml:space="preserve">select points: </t>
        </is>
      </c>
      <c r="E37" s="44" t="inlineStr">
        <is>
          <t>yes</t>
        </is>
      </c>
      <c r="F37" s="43" t="n">
        <v>0</v>
      </c>
      <c r="G37" s="43" t="n">
        <v>0</v>
      </c>
      <c r="H37" s="43" t="n">
        <v>0</v>
      </c>
      <c r="M37" s="34" t="n"/>
      <c r="N37" s="2" t="n"/>
      <c r="O37" s="4" t="n"/>
      <c r="P37" s="4" t="n"/>
      <c r="Q37" s="4" t="n"/>
      <c r="R37" s="4" t="n"/>
      <c r="S37" s="4" t="n"/>
      <c r="T37" s="4" t="n"/>
      <c r="U37" s="4" t="n"/>
      <c r="V37" s="4" t="n"/>
      <c r="W37" s="4" t="n"/>
      <c r="X37" s="4" t="n"/>
      <c r="Y37" s="4" t="n"/>
      <c r="Z37" s="4" t="n"/>
      <c r="AA37" s="4" t="n"/>
      <c r="AB37" s="4" t="n"/>
    </row>
    <row r="38" ht="18.75" customHeight="1">
      <c r="A38" s="63" t="n"/>
      <c r="B38" s="64" t="n"/>
      <c r="C38" s="65" t="n"/>
      <c r="D38" s="62" t="inlineStr">
        <is>
          <t>Must pass (&gt; 55%)</t>
        </is>
      </c>
      <c r="E38" s="66">
        <f>IF(J36&gt;=0.55*L36,"PASS","FAIL")</f>
        <v/>
      </c>
      <c r="J38" s="61" t="n"/>
      <c r="K38" s="61" t="n"/>
      <c r="L38" s="61" t="n"/>
      <c r="M38" s="67" t="n"/>
      <c r="N38" s="63" t="n"/>
      <c r="O38" s="4" t="n"/>
      <c r="P38" s="4" t="n"/>
      <c r="Q38" s="4" t="n"/>
      <c r="R38" s="4" t="n"/>
      <c r="S38" s="4" t="n"/>
      <c r="T38" s="4" t="n"/>
      <c r="U38" s="4" t="n"/>
      <c r="V38" s="4" t="n"/>
      <c r="W38" s="4" t="n"/>
      <c r="X38" s="4" t="n"/>
      <c r="Y38" s="4" t="n"/>
      <c r="Z38" s="4" t="n"/>
      <c r="AA38" s="4" t="n"/>
      <c r="AB38" s="4" t="n"/>
    </row>
    <row r="39" ht="64" customHeight="1">
      <c r="A39" s="45" t="n"/>
      <c r="B39" s="46" t="n"/>
      <c r="C39" s="47" t="n"/>
      <c r="D39" s="48" t="inlineStr">
        <is>
          <t>Comments:</t>
        </is>
      </c>
      <c r="E39" s="47" t="n"/>
      <c r="F39" s="49" t="n"/>
      <c r="G39" s="49" t="n"/>
      <c r="H39" s="49" t="n"/>
      <c r="J39" s="47" t="n"/>
      <c r="K39" s="47" t="n"/>
      <c r="L39" s="47" t="n"/>
      <c r="M39" s="46" t="n"/>
      <c r="N39" s="45" t="n"/>
    </row>
    <row r="40" ht="19.5" customHeight="1">
      <c r="A40" s="2" t="n"/>
      <c r="B40" s="30" t="n"/>
      <c r="C40" s="31" t="n"/>
      <c r="D40" s="32" t="n"/>
      <c r="E40" s="35" t="inlineStr">
        <is>
          <t>pre-requisites</t>
        </is>
      </c>
      <c r="F40" s="35" t="inlineStr">
        <is>
          <t>A: 5 points</t>
        </is>
      </c>
      <c r="H40" s="35" t="inlineStr">
        <is>
          <t>B: 10 points</t>
        </is>
      </c>
      <c r="J40" s="32" t="n"/>
      <c r="K40" s="32" t="n"/>
      <c r="L40" s="32" t="n"/>
      <c r="M40" s="34" t="n"/>
      <c r="N40" s="2" t="n"/>
      <c r="O40" s="4" t="n"/>
      <c r="P40" s="4" t="n"/>
      <c r="Q40" s="4" t="n"/>
      <c r="R40" s="4" t="n"/>
      <c r="S40" s="4" t="n"/>
      <c r="T40" s="4" t="n"/>
      <c r="U40" s="4" t="n"/>
      <c r="V40" s="4" t="n"/>
      <c r="W40" s="4" t="n"/>
      <c r="X40" s="4" t="n"/>
      <c r="Y40" s="4" t="n"/>
      <c r="Z40" s="4" t="n"/>
      <c r="AA40" s="4" t="n"/>
      <c r="AB40" s="4" t="n"/>
    </row>
    <row r="41" ht="74.25" customHeight="1">
      <c r="A41" s="2" t="n"/>
      <c r="B41" s="30" t="n"/>
      <c r="C41" s="36" t="inlineStr">
        <is>
          <t xml:space="preserve">Dublin descriptor: </t>
        </is>
      </c>
      <c r="D41" s="37" t="inlineStr">
        <is>
          <t>9.4 The student demonstrates the ability to design and manage data solutions, including the secure storage and version control of data and implement data pipelines using industry standard tools and practices.</t>
        </is>
      </c>
      <c r="E41" s="55" t="inlineStr">
        <is>
          <t>The student submits a complete learning log, work log, and self-assessment rubric. The student exhibits professional behaviour during DataLab sessions.</t>
        </is>
      </c>
      <c r="F41" s="52" t="inlineStr">
        <is>
          <t>The student demonstrates the ability to store data in the cloud and manage data through code. The student applies version control to data assets.</t>
        </is>
      </c>
      <c r="H41" s="57" t="inlineStr">
        <is>
          <t>The student is able to convert data preprocessing/processing code into a data pipeline. The group is able to perform all required data preprocessing  and processing steps in data pipelines using industry standard tools. The data pipelines are run on a schedule or triggered automatically based on appropriate criteria.</t>
        </is>
      </c>
      <c r="J41" s="41">
        <f>IF(E42="yes",SUM(F42:I42),0)</f>
        <v/>
      </c>
      <c r="K41" s="41" t="inlineStr">
        <is>
          <t>/</t>
        </is>
      </c>
      <c r="L41" s="41" t="n">
        <v>15</v>
      </c>
      <c r="M41" s="34" t="n"/>
      <c r="N41" s="2" t="n"/>
      <c r="O41" s="4" t="n"/>
      <c r="P41" s="4" t="n"/>
      <c r="Q41" s="4" t="n"/>
      <c r="R41" s="4" t="n"/>
      <c r="S41" s="4" t="n"/>
      <c r="T41" s="4" t="n"/>
      <c r="U41" s="4" t="n"/>
      <c r="V41" s="4" t="n"/>
      <c r="W41" s="4" t="n"/>
      <c r="X41" s="4" t="n"/>
      <c r="Y41" s="4" t="n"/>
      <c r="Z41" s="4" t="n"/>
      <c r="AA41" s="4" t="n"/>
      <c r="AB41" s="4" t="n"/>
    </row>
    <row r="42" ht="21.75" customHeight="1">
      <c r="A42" s="2" t="n"/>
      <c r="B42" s="30" t="n"/>
      <c r="C42" s="36" t="n"/>
      <c r="D42" s="42" t="inlineStr">
        <is>
          <t xml:space="preserve">select points: </t>
        </is>
      </c>
      <c r="E42" s="43" t="inlineStr">
        <is>
          <t>yes</t>
        </is>
      </c>
      <c r="F42" s="43" t="n">
        <v>0</v>
      </c>
      <c r="H42" s="43" t="n">
        <v>0</v>
      </c>
      <c r="M42" s="34" t="n"/>
      <c r="N42" s="2" t="n"/>
      <c r="O42" s="4" t="n"/>
      <c r="P42" s="4" t="n"/>
      <c r="Q42" s="4" t="n"/>
      <c r="R42" s="4" t="n"/>
      <c r="S42" s="4" t="n"/>
      <c r="T42" s="4" t="n"/>
      <c r="U42" s="4" t="n"/>
      <c r="V42" s="4" t="n"/>
      <c r="W42" s="4" t="n"/>
      <c r="X42" s="4" t="n"/>
      <c r="Y42" s="4" t="n"/>
      <c r="Z42" s="4" t="n"/>
      <c r="AA42" s="4" t="n"/>
      <c r="AB42" s="4" t="n"/>
    </row>
    <row r="43" ht="23.25" customHeight="1">
      <c r="A43" s="63" t="n"/>
      <c r="B43" s="64" t="n"/>
      <c r="C43" s="65" t="n"/>
      <c r="D43" s="62" t="inlineStr">
        <is>
          <t>Must pass (&gt; 55%)</t>
        </is>
      </c>
      <c r="E43" s="66">
        <f>IF(J41&gt;=0.55*L41,"PASS","FAIL")</f>
        <v/>
      </c>
      <c r="J43" s="61" t="n"/>
      <c r="K43" s="61" t="n"/>
      <c r="L43" s="61" t="n"/>
      <c r="M43" s="67" t="n"/>
      <c r="N43" s="63" t="n"/>
      <c r="O43" s="4" t="n"/>
      <c r="P43" s="4" t="n"/>
      <c r="Q43" s="4" t="n"/>
      <c r="R43" s="4" t="n"/>
      <c r="S43" s="4" t="n"/>
      <c r="T43" s="4" t="n"/>
      <c r="U43" s="4" t="n"/>
      <c r="V43" s="4" t="n"/>
      <c r="W43" s="4" t="n"/>
      <c r="X43" s="4" t="n"/>
      <c r="Y43" s="4" t="n"/>
      <c r="Z43" s="4" t="n"/>
      <c r="AA43" s="4" t="n"/>
      <c r="AB43" s="4" t="n"/>
    </row>
    <row r="44" ht="64" customHeight="1">
      <c r="A44" s="45" t="n"/>
      <c r="B44" s="46" t="n"/>
      <c r="C44" s="47" t="n"/>
      <c r="D44" s="48" t="inlineStr">
        <is>
          <t>Comments:</t>
        </is>
      </c>
      <c r="E44" s="47" t="n"/>
      <c r="F44" s="49" t="n"/>
      <c r="H44" s="49" t="n"/>
      <c r="J44" s="47" t="n"/>
      <c r="K44" s="47" t="n"/>
      <c r="L44" s="47" t="n"/>
      <c r="M44" s="46" t="n"/>
      <c r="N44" s="45" t="n"/>
    </row>
    <row r="45" ht="21.75" customHeight="1">
      <c r="A45" s="2" t="n"/>
      <c r="B45" s="30" t="n"/>
      <c r="C45" s="31" t="n"/>
      <c r="D45" s="32" t="n"/>
      <c r="E45" s="35" t="inlineStr">
        <is>
          <t>pre-requisites</t>
        </is>
      </c>
      <c r="F45" s="35" t="inlineStr">
        <is>
          <t>A: 5 points</t>
        </is>
      </c>
      <c r="G45" s="35" t="inlineStr">
        <is>
          <t>B: 5 points</t>
        </is>
      </c>
      <c r="H45" s="35" t="inlineStr">
        <is>
          <t>C: 5 points</t>
        </is>
      </c>
      <c r="I45" s="35" t="inlineStr">
        <is>
          <t>D: 5 points</t>
        </is>
      </c>
      <c r="J45" s="32" t="n"/>
      <c r="K45" s="32" t="n"/>
      <c r="L45" s="32" t="n"/>
      <c r="M45" s="34" t="n"/>
      <c r="N45" s="2" t="n"/>
      <c r="O45" s="4" t="n"/>
      <c r="P45" s="4" t="n"/>
      <c r="Q45" s="4" t="n"/>
      <c r="R45" s="4" t="n"/>
      <c r="S45" s="4" t="n"/>
      <c r="T45" s="4" t="n"/>
      <c r="U45" s="4" t="n"/>
      <c r="V45" s="4" t="n"/>
      <c r="W45" s="4" t="n"/>
      <c r="X45" s="4" t="n"/>
      <c r="Y45" s="4" t="n"/>
      <c r="Z45" s="4" t="n"/>
      <c r="AA45" s="4" t="n"/>
      <c r="AB45" s="4" t="n"/>
    </row>
    <row r="46" ht="153" customHeight="1">
      <c r="A46" s="2" t="n"/>
      <c r="B46" s="30" t="n"/>
      <c r="C46" s="36" t="inlineStr">
        <is>
          <t xml:space="preserve">Dublin descriptor: </t>
        </is>
      </c>
      <c r="D46" s="37" t="inlineStr">
        <is>
          <t>9.5 The student demonstrates the ability to deploy and maintain machine learning solutions using industry-standard tools, integrating version control, continuous integration, automated pipelines, and monitoring practices for both local and cloud environments.</t>
        </is>
      </c>
      <c r="E46" s="55" t="inlineStr">
        <is>
          <t>The student submits a complete learning log, work log, and self-assessment rubric. The student exhibits professional behaviour during DataLab sessions.</t>
        </is>
      </c>
      <c r="F46" s="50" t="inlineStr">
        <is>
          <t>The student is able to deploy an inference pipeline using industry standard tools. The student is able to interact with a deployed model locally and on on-premise infrastructure.</t>
        </is>
      </c>
      <c r="G46" s="60" t="inlineStr">
        <is>
          <t>The student is able to implement a GitHub branching strategy and automate both linting and unit tests. The deployment of the application is automated. The student is able to merge their code and ensure the tests pass.</t>
        </is>
      </c>
      <c r="H46" s="50" t="inlineStr">
        <is>
          <t>The student is able to deploy registered models as endpoints and integrate them into the application. The student applies version control to models and is able to select model versions for use in the inference pipeline. The deployment process is automated and well-documented. The student deploys new model versions using appropriate deployment strategies.</t>
        </is>
      </c>
      <c r="I46" s="51" t="inlineStr">
        <is>
          <t>The student can implement an automated machine learning retraining pipeline including automated model evaluation and deployment. Implement an appropiate monitoring solution, taking into account technical and business metrics, on the training process and the deployed models.</t>
        </is>
      </c>
      <c r="J46" s="41">
        <f>IF(E47="yes",SUM(F47:I47),0)</f>
        <v/>
      </c>
      <c r="K46" s="41" t="inlineStr">
        <is>
          <t>/</t>
        </is>
      </c>
      <c r="L46" s="41" t="n">
        <v>20</v>
      </c>
      <c r="M46" s="34" t="n"/>
      <c r="N46" s="2" t="n"/>
      <c r="O46" s="4" t="n"/>
      <c r="P46" s="4" t="n"/>
      <c r="Q46" s="4" t="n"/>
      <c r="R46" s="4" t="n"/>
      <c r="S46" s="4" t="n"/>
      <c r="T46" s="4" t="n"/>
      <c r="U46" s="4" t="n"/>
      <c r="V46" s="4" t="n"/>
      <c r="W46" s="4" t="n"/>
      <c r="X46" s="4" t="n"/>
      <c r="Y46" s="4" t="n"/>
      <c r="Z46" s="4" t="n"/>
      <c r="AA46" s="4" t="n"/>
      <c r="AB46" s="4" t="n"/>
    </row>
    <row r="47" ht="20.25" customHeight="1">
      <c r="A47" s="2" t="n"/>
      <c r="B47" s="30" t="n"/>
      <c r="D47" s="42" t="inlineStr">
        <is>
          <t xml:space="preserve">select points: </t>
        </is>
      </c>
      <c r="E47" s="43" t="inlineStr">
        <is>
          <t>yes</t>
        </is>
      </c>
      <c r="F47" s="68" t="n">
        <v>0</v>
      </c>
      <c r="G47" s="68" t="n"/>
      <c r="H47" s="43" t="n">
        <v>0</v>
      </c>
      <c r="I47" s="43" t="n">
        <v>0</v>
      </c>
      <c r="M47" s="34" t="n"/>
      <c r="N47" s="2" t="n"/>
      <c r="O47" s="4" t="n"/>
      <c r="P47" s="4" t="n"/>
      <c r="Q47" s="4" t="n"/>
      <c r="R47" s="4" t="n"/>
      <c r="S47" s="4" t="n"/>
      <c r="T47" s="4" t="n"/>
      <c r="U47" s="4" t="n"/>
      <c r="V47" s="4" t="n"/>
      <c r="W47" s="4" t="n"/>
      <c r="X47" s="4" t="n"/>
      <c r="Y47" s="4" t="n"/>
      <c r="Z47" s="4" t="n"/>
      <c r="AA47" s="4" t="n"/>
      <c r="AB47" s="4" t="n"/>
    </row>
    <row r="48" ht="19.9" customHeight="1">
      <c r="A48" s="63" t="n"/>
      <c r="B48" s="64" t="n"/>
      <c r="C48" s="65" t="n"/>
      <c r="D48" s="62" t="inlineStr">
        <is>
          <t>Must pass (&gt; 55%)</t>
        </is>
      </c>
      <c r="E48" s="66">
        <f>IF(J46&gt;=0.55*L46,"PASS","FAIL")</f>
        <v/>
      </c>
      <c r="J48" s="61" t="n"/>
      <c r="K48" s="61" t="n"/>
      <c r="L48" s="61" t="n"/>
      <c r="M48" s="67" t="n"/>
      <c r="N48" s="63" t="n"/>
      <c r="O48" s="4" t="n"/>
      <c r="P48" s="4" t="n"/>
      <c r="Q48" s="4" t="n"/>
      <c r="R48" s="4" t="n"/>
      <c r="S48" s="4" t="n"/>
      <c r="T48" s="4" t="n"/>
      <c r="U48" s="4" t="n"/>
      <c r="V48" s="4" t="n"/>
      <c r="W48" s="4" t="n"/>
      <c r="X48" s="4" t="n"/>
      <c r="Y48" s="4" t="n"/>
      <c r="Z48" s="4" t="n"/>
      <c r="AA48" s="4" t="n"/>
      <c r="AB48" s="4" t="n"/>
    </row>
    <row r="49" ht="64" customHeight="1">
      <c r="A49" s="45" t="n"/>
      <c r="B49" s="46" t="n"/>
      <c r="C49" s="47" t="n"/>
      <c r="D49" s="48" t="inlineStr">
        <is>
          <t>Comments:</t>
        </is>
      </c>
      <c r="E49" s="47" t="n"/>
      <c r="F49" s="49" t="n"/>
      <c r="G49" s="49" t="n"/>
      <c r="H49" s="49" t="n"/>
      <c r="I49" s="49" t="n"/>
      <c r="J49" s="47" t="n"/>
      <c r="K49" s="47" t="n"/>
      <c r="L49" s="47" t="n"/>
      <c r="M49" s="46" t="n"/>
      <c r="N49" s="45" t="n"/>
    </row>
    <row r="50" ht="18" customHeight="1">
      <c r="A50" s="2" t="n"/>
      <c r="B50" s="30" t="n"/>
      <c r="C50" s="31" t="inlineStr">
        <is>
          <t>ILO 10</t>
        </is>
      </c>
      <c r="D50" s="53" t="inlineStr">
        <is>
          <t xml:space="preserve">Visualization. The student can apply visualization and storytelling techniques and skills to effectively and accurately inform stakeholders about (interim) results of AI and DS approaches. </t>
        </is>
      </c>
      <c r="K50" s="53" t="n"/>
      <c r="L50" s="33" t="n"/>
      <c r="M50" s="34" t="n"/>
      <c r="N50" s="2" t="n"/>
      <c r="O50" s="4" t="n"/>
      <c r="P50" s="4" t="n"/>
      <c r="Q50" s="4" t="n"/>
      <c r="R50" s="4" t="n"/>
      <c r="S50" s="4" t="n"/>
      <c r="T50" s="4" t="n"/>
      <c r="U50" s="4" t="n"/>
      <c r="V50" s="4" t="n"/>
      <c r="W50" s="4" t="n"/>
      <c r="X50" s="4" t="n"/>
      <c r="Y50" s="4" t="n"/>
      <c r="Z50" s="4" t="n"/>
      <c r="AA50" s="4" t="n"/>
      <c r="AB50" s="4" t="n"/>
    </row>
    <row r="51" ht="23.25" customHeight="1">
      <c r="A51" s="2" t="n"/>
      <c r="B51" s="30" t="n"/>
      <c r="C51" s="31" t="n"/>
      <c r="D51" s="32" t="n"/>
      <c r="E51" s="35" t="inlineStr">
        <is>
          <t>pre-requisites</t>
        </is>
      </c>
      <c r="F51" s="69" t="inlineStr">
        <is>
          <t>A: 4 points</t>
        </is>
      </c>
      <c r="H51" s="69" t="inlineStr">
        <is>
          <t xml:space="preserve">B: 6 points </t>
        </is>
      </c>
      <c r="J51" s="32" t="n"/>
      <c r="K51" s="32" t="n"/>
      <c r="L51" s="32" t="n"/>
      <c r="M51" s="34" t="n"/>
      <c r="N51" s="2" t="n"/>
      <c r="O51" s="4" t="n"/>
      <c r="P51" s="3" t="n"/>
      <c r="Q51" s="4" t="n"/>
      <c r="R51" s="4" t="n"/>
      <c r="S51" s="4" t="n"/>
      <c r="T51" s="4" t="n"/>
      <c r="U51" s="4" t="n"/>
      <c r="V51" s="4" t="n"/>
      <c r="W51" s="4" t="n"/>
      <c r="X51" s="4" t="n"/>
      <c r="Y51" s="4" t="n"/>
      <c r="Z51" s="4" t="n"/>
      <c r="AA51" s="4" t="n"/>
      <c r="AB51" s="4" t="n"/>
    </row>
    <row r="52" ht="83.25" customHeight="1">
      <c r="A52" s="2" t="n"/>
      <c r="B52" s="30" t="n"/>
      <c r="C52" s="36" t="inlineStr">
        <is>
          <t xml:space="preserve">Dublin descriptor: </t>
        </is>
      </c>
      <c r="D52" s="37" t="inlineStr">
        <is>
          <t>10.3 The student demonstrates the ability to vizualise the project outcomes in a deployed application.</t>
        </is>
      </c>
      <c r="E52" s="55" t="inlineStr">
        <is>
          <t>The student submits a complete learning log, work log, and self-assessment rubric. The student exhibits professional behaviour during DataLab sessions.</t>
        </is>
      </c>
      <c r="F52" s="56" t="inlineStr">
        <is>
          <t xml:space="preserve">The student demonstrates the ability to connect the deployed application to a monitoring dashboard allowing for operational and performance metrics to be monitored. Tracing is implemented to identify bottlenecks in the deployment. </t>
        </is>
      </c>
      <c r="H52" s="57" t="inlineStr">
        <is>
          <t>The student demonstrates the ability to connect the deployed application to a user-friendly frontend in order to showcase the functionality to relevant stakeholders.  Appropriate visualisations are integrated to convey business insights.</t>
        </is>
      </c>
      <c r="J52" s="41">
        <f>IF(E53="yes",SUM(F53:I53),0)</f>
        <v/>
      </c>
      <c r="K52" s="41" t="inlineStr">
        <is>
          <t>/</t>
        </is>
      </c>
      <c r="L52" s="41" t="n">
        <v>10</v>
      </c>
      <c r="M52" s="5" t="n"/>
      <c r="N52" s="2" t="n"/>
      <c r="O52" s="70" t="n"/>
      <c r="P52" s="4" t="n"/>
      <c r="Q52" s="4" t="n"/>
      <c r="R52" s="4" t="n"/>
      <c r="S52" s="4" t="n"/>
      <c r="T52" s="4" t="n"/>
      <c r="U52" s="4" t="n"/>
      <c r="V52" s="4" t="n"/>
      <c r="W52" s="4" t="n"/>
      <c r="X52" s="4" t="n"/>
      <c r="Y52" s="4" t="n"/>
      <c r="Z52" s="4" t="n"/>
      <c r="AA52" s="4" t="n"/>
      <c r="AB52" s="4" t="n"/>
    </row>
    <row r="53" ht="18.75" customHeight="1">
      <c r="A53" s="2" t="n"/>
      <c r="B53" s="30" t="n"/>
      <c r="C53" s="36" t="n"/>
      <c r="D53" s="42" t="inlineStr">
        <is>
          <t xml:space="preserve">select points: </t>
        </is>
      </c>
      <c r="E53" s="43" t="inlineStr">
        <is>
          <t>yes</t>
        </is>
      </c>
      <c r="F53" s="43" t="n">
        <v>0</v>
      </c>
      <c r="H53" s="43" t="n">
        <v>0</v>
      </c>
      <c r="M53" s="67" t="n"/>
      <c r="N53" s="2" t="n"/>
      <c r="O53" s="4" t="n"/>
      <c r="P53" s="4" t="n"/>
      <c r="Q53" s="4" t="n"/>
      <c r="R53" s="4" t="n"/>
      <c r="S53" s="4" t="n"/>
      <c r="T53" s="4" t="n"/>
      <c r="U53" s="4" t="n"/>
      <c r="V53" s="4" t="n"/>
      <c r="W53" s="4" t="n"/>
      <c r="X53" s="4" t="n"/>
      <c r="Y53" s="4" t="n"/>
      <c r="Z53" s="4" t="n"/>
      <c r="AA53" s="4" t="n"/>
      <c r="AB53" s="4" t="n"/>
    </row>
    <row r="54" ht="64" customHeight="1">
      <c r="A54" s="45" t="n"/>
      <c r="B54" s="46" t="n"/>
      <c r="C54" s="47" t="n"/>
      <c r="D54" s="48" t="inlineStr">
        <is>
          <t>Comments:</t>
        </is>
      </c>
      <c r="E54" s="47" t="n"/>
      <c r="F54" s="49" t="n"/>
      <c r="H54" s="49" t="n"/>
      <c r="J54" s="47" t="n"/>
      <c r="K54" s="47" t="n"/>
      <c r="L54" s="47" t="n"/>
      <c r="M54" s="46" t="n"/>
      <c r="N54" s="45" t="n"/>
    </row>
    <row r="55" ht="34.5" customHeight="1">
      <c r="A55" s="2" t="n"/>
      <c r="B55" s="30" t="n"/>
      <c r="C55" s="30" t="n"/>
      <c r="D55" s="71" t="n"/>
      <c r="E55" s="71" t="n"/>
      <c r="F55" s="71" t="n"/>
      <c r="G55" s="71" t="n"/>
      <c r="H55" s="72" t="n"/>
      <c r="I55" s="72" t="n"/>
      <c r="J55" s="73">
        <f>J16+J21+J26+J31+J36+J41+J46+J52</f>
        <v/>
      </c>
      <c r="K55" s="73" t="inlineStr">
        <is>
          <t>/</t>
        </is>
      </c>
      <c r="L55" s="74" t="n">
        <v>100</v>
      </c>
      <c r="M55" s="34" t="n"/>
      <c r="N55" s="2" t="n"/>
      <c r="O55" s="4" t="n"/>
      <c r="P55" s="4" t="n"/>
      <c r="Q55" s="4" t="n"/>
      <c r="R55" s="4" t="n"/>
      <c r="S55" s="4" t="n"/>
      <c r="T55" s="4" t="n"/>
      <c r="U55" s="4" t="n"/>
      <c r="V55" s="4" t="n"/>
      <c r="W55" s="4" t="n"/>
      <c r="X55" s="4" t="n"/>
      <c r="Y55" s="4" t="n"/>
      <c r="Z55" s="4" t="n"/>
      <c r="AA55" s="4" t="n"/>
      <c r="AB55" s="4" t="n"/>
    </row>
    <row r="56" ht="34.5" customHeight="1">
      <c r="A56" s="2" t="n"/>
      <c r="B56" s="30" t="n"/>
      <c r="C56" s="30" t="n"/>
      <c r="D56" s="5" t="n"/>
      <c r="E56" s="5" t="n"/>
      <c r="F56" s="5" t="n"/>
      <c r="G56" s="5" t="n"/>
      <c r="H56" s="5" t="n"/>
      <c r="I56" s="5" t="n"/>
      <c r="J56" s="5" t="n"/>
      <c r="K56" s="5" t="n"/>
      <c r="M56" s="34" t="n"/>
      <c r="N56" s="2" t="n"/>
      <c r="O56" s="4" t="n"/>
      <c r="P56" s="4" t="n"/>
      <c r="Q56" s="4" t="n"/>
      <c r="R56" s="4" t="n"/>
      <c r="S56" s="4" t="n"/>
      <c r="T56" s="4" t="n"/>
      <c r="U56" s="4" t="n"/>
      <c r="V56" s="4" t="n"/>
      <c r="W56" s="4" t="n"/>
      <c r="X56" s="4" t="n"/>
      <c r="Y56" s="4" t="n"/>
      <c r="Z56" s="4" t="n"/>
      <c r="AA56" s="4" t="n"/>
      <c r="AB56" s="4" t="n"/>
    </row>
    <row r="57" ht="34.5" customHeight="1">
      <c r="A57" s="2" t="n"/>
      <c r="B57" s="2" t="n"/>
      <c r="C57" s="2" t="n"/>
      <c r="D57" s="2" t="n"/>
      <c r="E57" s="2" t="n"/>
      <c r="F57" s="2" t="n"/>
      <c r="G57" s="2" t="n"/>
      <c r="H57" s="2" t="n"/>
      <c r="I57" s="2" t="n"/>
      <c r="J57" s="2" t="n"/>
      <c r="K57" s="2" t="n"/>
      <c r="M57" s="2" t="n"/>
      <c r="N57" s="2" t="n"/>
      <c r="O57" s="4" t="n"/>
      <c r="P57" s="4" t="n"/>
      <c r="Q57" s="4" t="n"/>
      <c r="R57" s="4" t="n"/>
      <c r="S57" s="4" t="n"/>
      <c r="T57" s="4" t="n"/>
      <c r="U57" s="4" t="n"/>
      <c r="V57" s="4" t="n"/>
      <c r="W57" s="4" t="n"/>
      <c r="X57" s="4" t="n"/>
      <c r="Y57" s="4" t="n"/>
      <c r="Z57" s="4" t="n"/>
      <c r="AA57" s="4" t="n"/>
      <c r="AB57" s="4" t="n"/>
    </row>
    <row r="58" ht="34.5" customHeight="1">
      <c r="A58" s="2" t="n"/>
      <c r="B58" s="30" t="n"/>
      <c r="C58" s="7" t="inlineStr">
        <is>
          <t>CRISP-DM Cycle</t>
        </is>
      </c>
      <c r="F58" s="75" t="n"/>
      <c r="G58" s="75" t="n"/>
      <c r="H58" s="75" t="n"/>
      <c r="I58" s="75" t="n"/>
      <c r="J58" s="75" t="n"/>
      <c r="K58" s="75" t="n"/>
      <c r="M58" s="34" t="n"/>
      <c r="N58" s="2" t="n"/>
      <c r="O58" s="4" t="n"/>
      <c r="P58" s="4" t="n"/>
      <c r="Q58" s="4" t="n"/>
      <c r="R58" s="4" t="n"/>
      <c r="S58" s="4" t="n"/>
      <c r="T58" s="4" t="n"/>
      <c r="U58" s="4" t="n"/>
      <c r="V58" s="4" t="n"/>
      <c r="W58" s="4" t="n"/>
      <c r="X58" s="4" t="n"/>
      <c r="Y58" s="4" t="n"/>
      <c r="Z58" s="4" t="n"/>
      <c r="AA58" s="4" t="n"/>
      <c r="AB58" s="4" t="n"/>
    </row>
    <row r="59" ht="34.5" customHeight="1">
      <c r="A59" s="2" t="n"/>
      <c r="B59" s="5" t="n"/>
      <c r="C59" s="27" t="inlineStr">
        <is>
          <t>CRISP Phase</t>
        </is>
      </c>
      <c r="D59" s="27" t="inlineStr">
        <is>
          <t>Competency</t>
        </is>
      </c>
      <c r="E59" s="27" t="inlineStr">
        <is>
          <t>Description</t>
        </is>
      </c>
      <c r="J59" s="27" t="n"/>
      <c r="K59" s="27" t="n"/>
      <c r="L59" s="76" t="inlineStr">
        <is>
          <t>Graduate Level</t>
        </is>
      </c>
      <c r="M59" s="34" t="n"/>
      <c r="N59" s="2" t="n"/>
      <c r="O59" s="4" t="n"/>
      <c r="P59" s="4" t="n"/>
      <c r="Q59" s="4" t="n"/>
      <c r="R59" s="4" t="n"/>
      <c r="S59" s="4" t="n"/>
      <c r="T59" s="4" t="n"/>
      <c r="U59" s="4" t="n"/>
      <c r="V59" s="4" t="n"/>
      <c r="W59" s="4" t="n"/>
      <c r="X59" s="4" t="n"/>
      <c r="Y59" s="4" t="n"/>
      <c r="Z59" s="4" t="n"/>
      <c r="AA59" s="4" t="n"/>
      <c r="AB59" s="4" t="n"/>
    </row>
    <row r="60" ht="34.5" customHeight="1">
      <c r="A60" s="2" t="n"/>
      <c r="B60" s="30" t="n"/>
      <c r="C60" s="77" t="inlineStr">
        <is>
          <t>Professional Development</t>
        </is>
      </c>
      <c r="D60" s="78" t="inlineStr">
        <is>
          <t xml:space="preserve">Project management and cooperation </t>
        </is>
      </c>
      <c r="E60" s="78" t="inlineStr">
        <is>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is>
      </c>
      <c r="K60" s="78" t="n"/>
      <c r="L60" s="79" t="n">
        <v>3</v>
      </c>
      <c r="M60" s="34" t="n"/>
      <c r="N60" s="2" t="n"/>
      <c r="O60" s="4" t="n"/>
      <c r="P60" s="4" t="n"/>
      <c r="Q60" s="4" t="n"/>
      <c r="R60" s="4" t="n"/>
      <c r="S60" s="4" t="n"/>
      <c r="T60" s="4" t="n"/>
      <c r="U60" s="4" t="n"/>
      <c r="V60" s="4" t="n"/>
      <c r="W60" s="4" t="n"/>
      <c r="X60" s="4" t="n"/>
      <c r="Y60" s="4" t="n"/>
      <c r="Z60" s="4" t="n"/>
      <c r="AA60" s="4" t="n"/>
      <c r="AB60" s="4" t="n"/>
    </row>
    <row r="61" ht="34.5" customHeight="1">
      <c r="A61" s="2" t="n"/>
      <c r="B61" s="5" t="n"/>
      <c r="C61" s="80" t="inlineStr">
        <is>
          <t>Professional Development</t>
        </is>
      </c>
      <c r="D61" s="78" t="inlineStr">
        <is>
          <t xml:space="preserve">Researching and reflective attitude </t>
        </is>
      </c>
      <c r="E61" s="78" t="inlineStr">
        <is>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is>
      </c>
      <c r="K61" s="78" t="n"/>
      <c r="L61" s="81" t="n">
        <v>3</v>
      </c>
      <c r="M61" s="34" t="n"/>
      <c r="N61" s="2" t="n"/>
      <c r="O61" s="4" t="n"/>
      <c r="P61" s="4" t="n"/>
      <c r="Q61" s="4" t="n"/>
      <c r="R61" s="4" t="n"/>
      <c r="S61" s="4" t="n"/>
      <c r="T61" s="4" t="n"/>
      <c r="U61" s="4" t="n"/>
      <c r="V61" s="4" t="n"/>
      <c r="W61" s="4" t="n"/>
      <c r="X61" s="4" t="n"/>
      <c r="Y61" s="4" t="n"/>
      <c r="Z61" s="4" t="n"/>
      <c r="AA61" s="4" t="n"/>
      <c r="AB61" s="4" t="n"/>
    </row>
    <row r="62" ht="34.5" customHeight="1">
      <c r="A62" s="2" t="n"/>
      <c r="B62" s="30" t="n"/>
      <c r="C62" s="77" t="inlineStr">
        <is>
          <t>Professional Development</t>
        </is>
      </c>
      <c r="D62" s="78" t="inlineStr">
        <is>
          <t>Responsibility</t>
        </is>
      </c>
      <c r="E62" s="78" t="inlineStr">
        <is>
          <t>The student is aware of legal and ethical aspects within the context of her professional work environment and is able to make substantiated considerations in this regard. The student acts from justice and integrity.</t>
        </is>
      </c>
      <c r="K62" s="78" t="n"/>
      <c r="L62" s="79" t="n">
        <v>3</v>
      </c>
      <c r="M62" s="82" t="n"/>
      <c r="N62" s="83" t="n"/>
      <c r="O62" s="4" t="n"/>
      <c r="P62" s="4" t="n"/>
      <c r="Q62" s="4" t="n"/>
      <c r="R62" s="4" t="n"/>
      <c r="S62" s="4" t="n"/>
      <c r="T62" s="4" t="n"/>
      <c r="U62" s="4" t="n"/>
      <c r="V62" s="4" t="n"/>
      <c r="W62" s="4" t="n"/>
      <c r="X62" s="4" t="n"/>
      <c r="Y62" s="4" t="n"/>
      <c r="Z62" s="4" t="n"/>
      <c r="AA62" s="4" t="n"/>
      <c r="AB62" s="4" t="n"/>
    </row>
    <row r="63" ht="34.5" customHeight="1">
      <c r="A63" s="2" t="n"/>
      <c r="B63" s="5" t="n"/>
      <c r="C63" s="84" t="inlineStr">
        <is>
          <t>Business understanding</t>
        </is>
      </c>
      <c r="D63" s="85" t="inlineStr">
        <is>
          <t>Problem analysis</t>
        </is>
      </c>
      <c r="E63" s="85" t="inlineStr">
        <is>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is>
      </c>
      <c r="K63" s="85" t="n"/>
      <c r="L63" s="86" t="n">
        <v>3</v>
      </c>
      <c r="M63" s="34" t="n"/>
      <c r="N63" s="2" t="n"/>
      <c r="O63" s="4" t="n"/>
      <c r="P63" s="4" t="n"/>
      <c r="Q63" s="4" t="n"/>
      <c r="R63" s="4" t="n"/>
      <c r="S63" s="4" t="n"/>
      <c r="T63" s="4" t="n"/>
      <c r="U63" s="4" t="n"/>
      <c r="V63" s="4" t="n"/>
      <c r="W63" s="4" t="n"/>
      <c r="X63" s="4" t="n"/>
      <c r="Y63" s="4" t="n"/>
      <c r="Z63" s="4" t="n"/>
      <c r="AA63" s="4" t="n"/>
      <c r="AB63" s="4" t="n"/>
    </row>
    <row r="64" ht="34.5" customHeight="1">
      <c r="A64" s="2" t="n"/>
      <c r="B64" s="30" t="n"/>
      <c r="C64" s="87" t="inlineStr">
        <is>
          <t>Business understanding</t>
        </is>
      </c>
      <c r="D64" s="88" t="inlineStr">
        <is>
          <t>Domain knowledge</t>
        </is>
      </c>
      <c r="E64" s="88" t="inlineStr">
        <is>
          <t>The student has such knowledge of and insight into one or more domains that The student can function as a discussion partner for experts. The student is able to quickly immerse herself in new domains and associated professional networks.</t>
        </is>
      </c>
      <c r="K64" s="88" t="n"/>
      <c r="L64" s="89" t="n">
        <v>3</v>
      </c>
      <c r="M64" s="34" t="n"/>
      <c r="N64" s="2" t="n"/>
      <c r="O64" s="4" t="n"/>
      <c r="P64" s="4" t="n"/>
      <c r="Q64" s="4" t="n"/>
      <c r="R64" s="4" t="n"/>
      <c r="S64" s="4" t="n"/>
      <c r="T64" s="4" t="n"/>
      <c r="U64" s="4" t="n"/>
      <c r="V64" s="4" t="n"/>
      <c r="W64" s="4" t="n"/>
      <c r="X64" s="4" t="n"/>
      <c r="Y64" s="4" t="n"/>
      <c r="Z64" s="4" t="n"/>
      <c r="AA64" s="4" t="n"/>
      <c r="AB64" s="4" t="n"/>
    </row>
    <row r="65" ht="14.25" customHeight="1">
      <c r="A65" s="83" t="n"/>
      <c r="B65" s="90" t="n"/>
      <c r="C65" s="91" t="inlineStr">
        <is>
          <t>Data understanding</t>
        </is>
      </c>
      <c r="D65" s="85" t="inlineStr">
        <is>
          <t>Data collection and processing</t>
        </is>
      </c>
      <c r="E65" s="85" t="inlineStr">
        <is>
          <t>The student masters (programming) skills to acquire, pre-process, process and manage the necessary data to create value for individuals, organizations and domains.</t>
        </is>
      </c>
      <c r="K65" s="85" t="n"/>
      <c r="L65" s="92" t="n">
        <v>3</v>
      </c>
      <c r="M65" s="34" t="n"/>
      <c r="N65" s="2" t="n"/>
      <c r="O65" s="4" t="n"/>
      <c r="P65" s="4" t="n"/>
      <c r="Q65" s="4" t="n"/>
      <c r="R65" s="4" t="n"/>
      <c r="S65" s="4" t="n"/>
      <c r="T65" s="4" t="n"/>
      <c r="U65" s="4" t="n"/>
      <c r="V65" s="4" t="n"/>
      <c r="W65" s="4" t="n"/>
      <c r="X65" s="4" t="n"/>
      <c r="Y65" s="4" t="n"/>
      <c r="Z65" s="4" t="n"/>
      <c r="AA65" s="4" t="n"/>
      <c r="AB65" s="4" t="n"/>
    </row>
    <row r="66" ht="26.25" customHeight="1">
      <c r="A66" s="2" t="n"/>
      <c r="B66" s="5" t="n"/>
      <c r="C66" s="93" t="inlineStr">
        <is>
          <t>Data preparation</t>
        </is>
      </c>
      <c r="D66" s="88" t="inlineStr">
        <is>
          <t>Data analysis</t>
        </is>
      </c>
      <c r="E66" s="88" t="inlineStr">
        <is>
          <t>The studentan can use analytical and statistical methods to analyse data to create value for individuals, organizations and domains.</t>
        </is>
      </c>
      <c r="K66" s="88" t="n"/>
      <c r="L66" s="94" t="n">
        <v>3</v>
      </c>
      <c r="M66" s="95" t="n"/>
      <c r="N66" s="96" t="n"/>
      <c r="O66" s="4" t="n"/>
      <c r="P66" s="4" t="n"/>
      <c r="Q66" s="4" t="n"/>
      <c r="R66" s="4" t="n"/>
      <c r="S66" s="4" t="n"/>
      <c r="T66" s="4" t="n"/>
      <c r="U66" s="4" t="n"/>
      <c r="V66" s="4" t="n"/>
      <c r="W66" s="4" t="n"/>
      <c r="X66" s="4" t="n"/>
      <c r="Y66" s="4" t="n"/>
      <c r="Z66" s="4" t="n"/>
      <c r="AA66" s="4" t="n"/>
      <c r="AB66" s="4" t="n"/>
    </row>
    <row r="67" ht="26.25" customHeight="1">
      <c r="A67" s="2" t="n"/>
      <c r="B67" s="5" t="n"/>
      <c r="C67" s="84" t="inlineStr">
        <is>
          <t>Modelling</t>
        </is>
      </c>
      <c r="D67" s="85" t="inlineStr">
        <is>
          <t>Modelling</t>
        </is>
      </c>
      <c r="E67" s="85" t="inlineStr">
        <is>
          <t>The studentan apply modelling techniques including Machine Learning and AI to create value for individuals, organizations and domains.</t>
        </is>
      </c>
      <c r="K67" s="85" t="n"/>
      <c r="L67" s="86" t="n">
        <v>3</v>
      </c>
      <c r="M67" s="34" t="n"/>
      <c r="N67" s="2" t="n"/>
      <c r="O67" s="4" t="n"/>
      <c r="P67" s="4" t="n"/>
      <c r="Q67" s="4" t="n"/>
      <c r="R67" s="4" t="n"/>
      <c r="S67" s="4" t="n"/>
      <c r="T67" s="4" t="n"/>
      <c r="U67" s="4" t="n"/>
      <c r="V67" s="4" t="n"/>
      <c r="W67" s="4" t="n"/>
      <c r="X67" s="4" t="n"/>
      <c r="Y67" s="4" t="n"/>
      <c r="Z67" s="4" t="n"/>
      <c r="AA67" s="4" t="n"/>
      <c r="AB67" s="4" t="n"/>
    </row>
    <row r="68" ht="15" customHeight="1">
      <c r="A68" s="2" t="n"/>
      <c r="B68" s="5" t="n"/>
      <c r="C68" s="87" t="inlineStr">
        <is>
          <t>Modelling</t>
        </is>
      </c>
      <c r="D68" s="88" t="inlineStr">
        <is>
          <t>Design, prototyping and implementation</t>
        </is>
      </c>
      <c r="E68" s="88" t="inlineStr">
        <is>
          <t>The studentan develop a prototype using an iterative cycle, explicitly involving stakeholders, and implement applications within an (existing) architecture.</t>
        </is>
      </c>
      <c r="K68" s="88" t="n"/>
      <c r="L68" s="89" t="n">
        <v>3</v>
      </c>
      <c r="M68" s="75" t="n"/>
      <c r="N68" s="2" t="n"/>
      <c r="O68" s="4" t="n"/>
      <c r="P68" s="4" t="n"/>
      <c r="Q68" s="4" t="n"/>
      <c r="R68" s="4" t="n"/>
      <c r="S68" s="4" t="n"/>
      <c r="T68" s="4" t="n"/>
      <c r="U68" s="4" t="n"/>
      <c r="V68" s="4" t="n"/>
      <c r="W68" s="4" t="n"/>
      <c r="X68" s="4" t="n"/>
      <c r="Y68" s="4" t="n"/>
      <c r="Z68" s="4" t="n"/>
      <c r="AA68" s="4" t="n"/>
      <c r="AB68" s="4" t="n"/>
    </row>
    <row r="69" ht="48" customHeight="1">
      <c r="A69" s="96" t="n"/>
      <c r="B69" s="97" t="n"/>
      <c r="C69" s="91" t="inlineStr">
        <is>
          <t>Evaluation &amp; Deployment</t>
        </is>
      </c>
      <c r="D69" s="85" t="inlineStr">
        <is>
          <t>Visualisation</t>
        </is>
      </c>
      <c r="E69" s="85" t="inlineStr">
        <is>
          <t>The student can apply visualization and storytelling techniques and skills to effectively and accurately inform stakeholders about (interim) results of AI and DS approaches.</t>
        </is>
      </c>
      <c r="K69" s="85" t="n"/>
      <c r="L69" s="92" t="n">
        <v>3</v>
      </c>
      <c r="M69" s="5" t="n"/>
      <c r="N69" s="2" t="n"/>
      <c r="O69" s="4" t="n"/>
      <c r="P69" s="4" t="n"/>
      <c r="Q69" s="4" t="n"/>
      <c r="R69" s="4" t="n"/>
      <c r="S69" s="4" t="n"/>
      <c r="T69" s="4" t="n"/>
      <c r="U69" s="4" t="n"/>
      <c r="V69" s="4" t="n"/>
      <c r="W69" s="4" t="n"/>
      <c r="X69" s="4" t="n"/>
      <c r="Y69" s="4" t="n"/>
      <c r="Z69" s="4" t="n"/>
      <c r="AA69" s="4" t="n"/>
      <c r="AB69" s="4" t="n"/>
    </row>
    <row r="70" ht="48" customHeight="1">
      <c r="A70" s="2" t="n"/>
      <c r="B70" s="30" t="n"/>
      <c r="C70" s="93" t="inlineStr">
        <is>
          <t>Evaluation &amp; Deployment</t>
        </is>
      </c>
      <c r="D70" s="88" t="inlineStr">
        <is>
          <t>Reporting and advising</t>
        </is>
      </c>
      <c r="E70" s="88" t="inlineStr">
        <is>
          <t>The studentan can translate (interim) results into effective reporting. The student sees opportunities and possibilities and can translate these from a market-oriented vision into new concepts, products or services, while keeping the business side of the organization in mind.</t>
        </is>
      </c>
      <c r="K70" s="88" t="n"/>
      <c r="L70" s="94" t="n">
        <v>3</v>
      </c>
      <c r="M70" s="5" t="n"/>
      <c r="N70" s="2" t="n"/>
      <c r="O70" s="4" t="n"/>
      <c r="P70" s="4" t="n"/>
      <c r="Q70" s="4" t="n"/>
      <c r="R70" s="4" t="n"/>
      <c r="S70" s="4" t="n"/>
      <c r="T70" s="4" t="n"/>
      <c r="U70" s="4" t="n"/>
      <c r="V70" s="4" t="n"/>
      <c r="W70" s="4" t="n"/>
      <c r="X70" s="4" t="n"/>
      <c r="Y70" s="4" t="n"/>
      <c r="Z70" s="4" t="n"/>
      <c r="AA70" s="4" t="n"/>
      <c r="AB70" s="4" t="n"/>
    </row>
    <row r="71" ht="48" customHeight="1">
      <c r="A71" s="2" t="n"/>
      <c r="B71" s="5" t="n"/>
      <c r="C71" s="5" t="n"/>
      <c r="D71" s="75" t="n"/>
      <c r="E71" s="75" t="n"/>
      <c r="F71" s="75" t="n"/>
      <c r="G71" s="75" t="n"/>
      <c r="H71" s="75" t="n"/>
      <c r="I71" s="75" t="n"/>
      <c r="J71" s="75" t="n"/>
      <c r="K71" s="75" t="n"/>
      <c r="M71" s="5" t="n"/>
      <c r="N71" s="2" t="n"/>
      <c r="O71" s="4" t="n"/>
      <c r="P71" s="4" t="n"/>
      <c r="Q71" s="4" t="n"/>
      <c r="R71" s="4" t="n"/>
      <c r="S71" s="4" t="n"/>
      <c r="T71" s="4" t="n"/>
      <c r="U71" s="4" t="n"/>
      <c r="V71" s="4" t="n"/>
      <c r="W71" s="4" t="n"/>
      <c r="X71" s="4" t="n"/>
      <c r="Y71" s="4" t="n"/>
      <c r="Z71" s="4" t="n"/>
      <c r="AA71" s="4" t="n"/>
      <c r="AB71" s="4" t="n"/>
    </row>
    <row r="72" ht="48" customHeight="1">
      <c r="A72" s="2" t="n"/>
      <c r="B72" s="2" t="n"/>
      <c r="C72" s="2" t="n"/>
      <c r="D72" s="2" t="n"/>
      <c r="E72" s="2" t="n"/>
      <c r="F72" s="2" t="n"/>
      <c r="G72" s="2" t="n"/>
      <c r="H72" s="2" t="n"/>
      <c r="I72" s="2" t="n"/>
      <c r="J72" s="2" t="n"/>
      <c r="K72" s="2" t="n"/>
      <c r="M72" s="2" t="n"/>
      <c r="N72" s="2" t="n"/>
      <c r="O72" s="4" t="n"/>
      <c r="P72" s="4" t="n"/>
      <c r="Q72" s="4" t="n"/>
      <c r="R72" s="4" t="n"/>
      <c r="S72" s="4" t="n"/>
      <c r="T72" s="4" t="n"/>
      <c r="U72" s="4" t="n"/>
      <c r="V72" s="4" t="n"/>
      <c r="W72" s="4" t="n"/>
      <c r="X72" s="4" t="n"/>
      <c r="Y72" s="4" t="n"/>
      <c r="Z72" s="4" t="n"/>
      <c r="AA72" s="4" t="n"/>
      <c r="AB72" s="4" t="n"/>
    </row>
    <row r="73" ht="48" customHeight="1">
      <c r="A73" s="2" t="n"/>
      <c r="B73" s="98" t="n"/>
      <c r="C73" s="7" t="inlineStr">
        <is>
          <t>Dublin Descriptors</t>
        </is>
      </c>
      <c r="F73" s="30" t="n"/>
      <c r="G73" s="5" t="n"/>
      <c r="H73" s="5" t="n"/>
      <c r="I73" s="5" t="n"/>
      <c r="J73" s="5" t="n"/>
      <c r="K73" s="5" t="n"/>
      <c r="L73" s="5" t="n"/>
      <c r="M73" s="5" t="n"/>
      <c r="N73" s="2" t="n"/>
      <c r="O73" s="4" t="n"/>
      <c r="P73" s="4" t="n"/>
      <c r="Q73" s="4" t="n"/>
      <c r="R73" s="4" t="n"/>
      <c r="S73" s="4" t="n"/>
      <c r="T73" s="4" t="n"/>
      <c r="U73" s="4" t="n"/>
      <c r="V73" s="4" t="n"/>
      <c r="W73" s="4" t="n"/>
      <c r="X73" s="4" t="n"/>
      <c r="Y73" s="4" t="n"/>
      <c r="Z73" s="4" t="n"/>
      <c r="AA73" s="4" t="n"/>
      <c r="AB73" s="4" t="n"/>
    </row>
    <row r="74" ht="14.25" customHeight="1">
      <c r="A74" s="2" t="n"/>
      <c r="B74" s="98" t="n"/>
      <c r="C74" s="99" t="inlineStr">
        <is>
          <t>#</t>
        </is>
      </c>
      <c r="D74" s="99" t="inlineStr">
        <is>
          <t>Outcomes</t>
        </is>
      </c>
      <c r="E74" s="100" t="inlineStr">
        <is>
          <t>First cycle qualifications (Bachelor Level)</t>
        </is>
      </c>
      <c r="I74" s="100" t="inlineStr">
        <is>
          <t>Second cycle qualifications (Master Level)</t>
        </is>
      </c>
      <c r="J74" s="99" t="n"/>
      <c r="K74" s="99" t="n"/>
      <c r="M74" s="5" t="n"/>
      <c r="N74" s="2" t="n"/>
      <c r="O74" s="4" t="n"/>
      <c r="P74" s="4" t="n"/>
      <c r="Q74" s="4" t="n"/>
      <c r="R74" s="4" t="n"/>
      <c r="S74" s="4" t="n"/>
      <c r="T74" s="4" t="n"/>
      <c r="U74" s="4" t="n"/>
      <c r="V74" s="4" t="n"/>
      <c r="W74" s="4" t="n"/>
      <c r="X74" s="4" t="n"/>
      <c r="Y74" s="4" t="n"/>
      <c r="Z74" s="4" t="n"/>
      <c r="AA74" s="4" t="n"/>
      <c r="AB74" s="4" t="n"/>
    </row>
    <row r="75" ht="14.25" customHeight="1">
      <c r="E75" s="100" t="inlineStr">
        <is>
          <t>Qualifications that signify completion of the first cycle are awarded to students who:</t>
        </is>
      </c>
      <c r="I75" s="100" t="inlineStr">
        <is>
          <t>Qualifications that signify completion of the second cycle are awarded to students who:</t>
        </is>
      </c>
    </row>
    <row r="76" ht="39.4" customHeight="1">
      <c r="A76" s="2" t="n"/>
      <c r="B76" s="5" t="n"/>
      <c r="C76" s="101" t="n">
        <v>1</v>
      </c>
      <c r="D76" s="102" t="inlineStr">
        <is>
          <t>Knowledge and Understanding</t>
        </is>
      </c>
      <c r="E76" s="103" t="inlineStr">
        <is>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is>
      </c>
      <c r="I76" s="104" t="inlineStr">
        <is>
          <t>Have demonstrated knowledge and understanding that is founded upon and extends and/or enhances that typically associated with the first cycle, and that provides a basis or opportunity for originality in developing and/or applying ideas, often within a research context.</t>
        </is>
      </c>
      <c r="M76" s="5" t="n"/>
      <c r="N76" s="2" t="n"/>
      <c r="O76" s="4" t="n"/>
      <c r="P76" s="4" t="n"/>
      <c r="Q76" s="4" t="n"/>
      <c r="R76" s="4" t="n"/>
      <c r="S76" s="4" t="n"/>
      <c r="T76" s="4" t="n"/>
      <c r="U76" s="4" t="n"/>
      <c r="V76" s="4" t="n"/>
      <c r="W76" s="4" t="n"/>
      <c r="X76" s="4" t="n"/>
      <c r="Y76" s="4" t="n"/>
      <c r="Z76" s="4" t="n"/>
      <c r="AA76" s="4" t="n"/>
      <c r="AB76" s="4" t="n"/>
    </row>
    <row r="77" ht="26.25" customHeight="1">
      <c r="A77" s="2" t="n"/>
      <c r="B77" s="5" t="n"/>
      <c r="C77" s="105" t="n">
        <v>2</v>
      </c>
      <c r="D77" s="106" t="inlineStr">
        <is>
          <t>Applying Knowledge and Understanding</t>
        </is>
      </c>
      <c r="E77" s="107" t="inlineStr">
        <is>
          <t>Can apply their knowledge and understanding in a manner that indicates a professional approach to their work or vocation, and have competences typically demonstrated through devising and sustaining arguments and solving problems within their field of study.</t>
        </is>
      </c>
      <c r="I77" s="108" t="inlineStr">
        <is>
          <t>Can apply their knowledge and understanding, and problem solving abilities in new or unfamiliar environments within broader (or multidisciplinary) contexts related to their field of study.</t>
        </is>
      </c>
      <c r="M77" s="5" t="n"/>
      <c r="N77" s="2" t="n"/>
      <c r="O77" s="4" t="n"/>
      <c r="P77" s="4" t="n"/>
      <c r="Q77" s="4" t="n"/>
      <c r="R77" s="4" t="n"/>
      <c r="S77" s="4" t="n"/>
      <c r="T77" s="4" t="n"/>
      <c r="U77" s="4" t="n"/>
      <c r="V77" s="4" t="n"/>
      <c r="W77" s="4" t="n"/>
      <c r="X77" s="4" t="n"/>
      <c r="Y77" s="4" t="n"/>
      <c r="Z77" s="4" t="n"/>
      <c r="AA77" s="4" t="n"/>
      <c r="AB77" s="4" t="n"/>
    </row>
    <row r="78" ht="39.4" customHeight="1">
      <c r="A78" s="2" t="n"/>
      <c r="B78" s="5" t="n"/>
      <c r="C78" s="101" t="n">
        <v>3</v>
      </c>
      <c r="D78" s="102" t="inlineStr">
        <is>
          <t>Making Judgements</t>
        </is>
      </c>
      <c r="E78" s="103" t="inlineStr">
        <is>
          <t>Have the ability to gather and interpret relevant data (usually within their field of study) to inform judgements that include reflection on relevant social, scientific or ethical issues.</t>
        </is>
      </c>
      <c r="I78" s="104" t="inlineStr">
        <is>
          <t>Have the ability to integrate knowledge and handle complexity, and formulate judgements with incomplete or limited information, but that include reflecting on social and ethical responsibilities linked to the application of their knowledge and judgements.</t>
        </is>
      </c>
      <c r="M78" s="5" t="n"/>
      <c r="N78" s="2" t="n"/>
      <c r="O78" s="4" t="n"/>
      <c r="P78" s="4" t="n"/>
      <c r="Q78" s="4" t="n"/>
      <c r="R78" s="4" t="n"/>
      <c r="S78" s="4" t="n"/>
      <c r="T78" s="4" t="n"/>
      <c r="U78" s="4" t="n"/>
      <c r="V78" s="4" t="n"/>
      <c r="W78" s="4" t="n"/>
      <c r="X78" s="4" t="n"/>
      <c r="Y78" s="4" t="n"/>
      <c r="Z78" s="4" t="n"/>
      <c r="AA78" s="4" t="n"/>
      <c r="AB78" s="4" t="n"/>
    </row>
    <row r="79" ht="26.25" customHeight="1">
      <c r="A79" s="2" t="n"/>
      <c r="B79" s="5" t="n"/>
      <c r="C79" s="105" t="n">
        <v>4</v>
      </c>
      <c r="D79" s="106" t="inlineStr">
        <is>
          <t>Communication</t>
        </is>
      </c>
      <c r="E79" s="107" t="inlineStr">
        <is>
          <t>Can communicate information, ideas, problems and solutions to both specialist and non- specialist audiences.</t>
        </is>
      </c>
      <c r="I79" s="108" t="inlineStr">
        <is>
          <t>Can communicate their conclusions, and the knowledge and rationale underpinning these, to specialist and non-specialist audiences clearly and unambiguously.</t>
        </is>
      </c>
      <c r="M79" s="5" t="n"/>
      <c r="N79" s="2" t="n"/>
      <c r="O79" s="4" t="n"/>
      <c r="P79" s="4" t="n"/>
      <c r="Q79" s="4" t="n"/>
      <c r="R79" s="4" t="n"/>
      <c r="S79" s="4" t="n"/>
      <c r="T79" s="4" t="n"/>
      <c r="U79" s="4" t="n"/>
      <c r="V79" s="4" t="n"/>
      <c r="W79" s="4" t="n"/>
      <c r="X79" s="4" t="n"/>
      <c r="Y79" s="4" t="n"/>
      <c r="Z79" s="4" t="n"/>
      <c r="AA79" s="4" t="n"/>
      <c r="AB79" s="4" t="n"/>
    </row>
    <row r="80" ht="26.25" customHeight="1">
      <c r="A80" s="2" t="n"/>
      <c r="B80" s="5" t="n"/>
      <c r="C80" s="101" t="n">
        <v>5</v>
      </c>
      <c r="D80" s="102" t="inlineStr">
        <is>
          <t>Learning Skills</t>
        </is>
      </c>
      <c r="E80" s="103" t="inlineStr">
        <is>
          <t>Have developed those learning skills that are necessary for them to continue to undertake further study with a high degree of autonomy.</t>
        </is>
      </c>
      <c r="I80" s="104" t="inlineStr">
        <is>
          <t>Have the learning skills to allow them to continue to study in a manner that may be largely self-directed or autonomous.</t>
        </is>
      </c>
      <c r="M80" s="5" t="n"/>
      <c r="N80" s="2" t="n"/>
      <c r="O80" s="4" t="n"/>
      <c r="P80" s="4" t="n"/>
      <c r="Q80" s="4" t="n"/>
      <c r="R80" s="4" t="n"/>
      <c r="S80" s="4" t="n"/>
      <c r="T80" s="4" t="n"/>
      <c r="U80" s="4" t="n"/>
      <c r="V80" s="4" t="n"/>
      <c r="W80" s="4" t="n"/>
      <c r="X80" s="4" t="n"/>
      <c r="Y80" s="4" t="n"/>
      <c r="Z80" s="4" t="n"/>
      <c r="AA80" s="4" t="n"/>
      <c r="AB80" s="4" t="n"/>
    </row>
    <row r="81" ht="15" customHeight="1">
      <c r="A81" s="2" t="n"/>
      <c r="B81" s="5" t="n"/>
      <c r="C81" s="5" t="n"/>
      <c r="D81" s="5" t="n"/>
      <c r="E81" s="5" t="n"/>
      <c r="F81" s="5" t="n"/>
      <c r="G81" s="5" t="n"/>
      <c r="H81" s="5" t="n"/>
      <c r="I81" s="5" t="n"/>
      <c r="J81" s="5" t="n"/>
      <c r="K81" s="5" t="n"/>
      <c r="L81" s="5" t="n"/>
      <c r="M81" s="5" t="n"/>
      <c r="N81" s="2" t="n"/>
      <c r="O81" s="4" t="n"/>
      <c r="P81" s="4" t="n"/>
      <c r="Q81" s="4" t="n"/>
      <c r="R81" s="4" t="n"/>
      <c r="S81" s="4" t="n"/>
      <c r="T81" s="4" t="n"/>
      <c r="U81" s="4" t="n"/>
      <c r="V81" s="4" t="n"/>
      <c r="W81" s="4" t="n"/>
      <c r="X81" s="4" t="n"/>
      <c r="Y81" s="4" t="n"/>
      <c r="Z81" s="4" t="n"/>
      <c r="AA81" s="4" t="n"/>
      <c r="AB81" s="4" t="n"/>
    </row>
    <row r="82" ht="15" customHeight="1">
      <c r="A82" s="2" t="n"/>
      <c r="B82" s="2" t="n"/>
      <c r="C82" s="2" t="n"/>
      <c r="D82" s="2" t="n"/>
      <c r="E82" s="2" t="n"/>
      <c r="F82" s="2" t="n"/>
      <c r="G82" s="2" t="n"/>
      <c r="H82" s="2" t="n"/>
      <c r="I82" s="2" t="n"/>
      <c r="J82" s="2" t="n"/>
      <c r="K82" s="2" t="n"/>
      <c r="L82" s="2" t="n"/>
      <c r="M82" s="2" t="n"/>
      <c r="N82" s="2" t="n"/>
      <c r="O82" s="4" t="n"/>
      <c r="P82" s="4" t="n"/>
      <c r="Q82" s="4" t="n"/>
      <c r="R82" s="4" t="n"/>
      <c r="S82" s="4" t="n"/>
      <c r="T82" s="4" t="n"/>
      <c r="U82" s="4" t="n"/>
      <c r="V82" s="4" t="n"/>
      <c r="W82" s="4" t="n"/>
      <c r="X82" s="4" t="n"/>
      <c r="Y82" s="4" t="n"/>
      <c r="Z82" s="4" t="n"/>
      <c r="AA82" s="4" t="n"/>
      <c r="AB82" s="4" t="n"/>
    </row>
    <row r="83" ht="15" customHeight="1">
      <c r="A83" s="4" t="n"/>
      <c r="B83" s="4" t="n"/>
      <c r="C83" s="4" t="n"/>
      <c r="D83" s="4" t="n"/>
      <c r="E83" s="4" t="n"/>
      <c r="F83" s="4" t="n"/>
      <c r="G83" s="4" t="n"/>
      <c r="H83" s="4" t="n"/>
      <c r="I83" s="4" t="n"/>
      <c r="J83" s="4" t="n"/>
      <c r="K83" s="4" t="n"/>
      <c r="M83" s="4" t="n"/>
      <c r="N83" s="4" t="n"/>
      <c r="O83" s="4" t="n"/>
      <c r="P83" s="4" t="n"/>
      <c r="Q83" s="4" t="n"/>
      <c r="R83" s="4" t="n"/>
      <c r="S83" s="4" t="n"/>
      <c r="T83" s="4" t="n"/>
      <c r="U83" s="4" t="n"/>
      <c r="V83" s="4" t="n"/>
      <c r="W83" s="4" t="n"/>
      <c r="X83" s="4" t="n"/>
      <c r="Y83" s="4" t="n"/>
      <c r="Z83" s="4" t="n"/>
      <c r="AA83" s="4" t="n"/>
      <c r="AB83" s="4" t="n"/>
    </row>
    <row r="84">
      <c r="A84" s="4" t="n"/>
      <c r="B84" s="4" t="n"/>
      <c r="C84" s="4" t="n"/>
      <c r="D84" s="4" t="n"/>
      <c r="E84" s="4" t="n"/>
      <c r="F84" s="4" t="n"/>
      <c r="G84" s="4" t="n"/>
      <c r="H84" s="4" t="n"/>
      <c r="I84" s="4" t="n"/>
      <c r="J84" s="4" t="n"/>
      <c r="K84" s="4" t="n"/>
      <c r="M84" s="4" t="n"/>
      <c r="N84" s="4" t="n"/>
      <c r="O84" s="4" t="n"/>
      <c r="P84" s="4" t="n"/>
      <c r="Q84" s="4" t="n"/>
      <c r="R84" s="4" t="n"/>
      <c r="S84" s="4" t="n"/>
      <c r="T84" s="4" t="n"/>
      <c r="U84" s="4" t="n"/>
      <c r="V84" s="4" t="n"/>
      <c r="W84" s="4" t="n"/>
      <c r="X84" s="4" t="n"/>
      <c r="Y84" s="4" t="n"/>
      <c r="Z84" s="4" t="n"/>
      <c r="AA84" s="4" t="n"/>
      <c r="AB84" s="4" t="n"/>
    </row>
    <row r="85">
      <c r="A85" s="4" t="n"/>
      <c r="B85" s="4" t="n"/>
      <c r="C85" s="4" t="n"/>
      <c r="D85" s="4" t="n"/>
      <c r="E85" s="4" t="n"/>
      <c r="F85" s="4" t="n"/>
      <c r="G85" s="4" t="n"/>
      <c r="H85" s="4" t="n"/>
      <c r="I85" s="4" t="n"/>
      <c r="J85" s="4" t="n"/>
      <c r="K85" s="4" t="n"/>
      <c r="M85" s="4" t="n"/>
      <c r="N85" s="4" t="n"/>
      <c r="O85" s="4" t="n"/>
      <c r="P85" s="4" t="n"/>
      <c r="Q85" s="4" t="n"/>
      <c r="R85" s="4" t="n"/>
      <c r="S85" s="4" t="n"/>
      <c r="T85" s="4" t="n"/>
      <c r="U85" s="4" t="n"/>
      <c r="V85" s="4" t="n"/>
      <c r="W85" s="4" t="n"/>
      <c r="X85" s="4" t="n"/>
      <c r="Y85" s="4" t="n"/>
      <c r="Z85" s="4" t="n"/>
      <c r="AA85" s="4" t="n"/>
      <c r="AB85" s="4" t="n"/>
    </row>
    <row r="86">
      <c r="A86" s="4" t="n"/>
      <c r="B86" s="4" t="n"/>
      <c r="C86" s="4" t="n"/>
      <c r="D86" s="4" t="n"/>
      <c r="E86" s="4" t="n"/>
      <c r="F86" s="4" t="n"/>
      <c r="G86" s="4" t="n"/>
      <c r="H86" s="4" t="n"/>
      <c r="I86" s="4" t="n"/>
      <c r="J86" s="4" t="n"/>
      <c r="K86" s="4" t="n"/>
      <c r="M86" s="4" t="n"/>
      <c r="N86" s="4" t="n"/>
      <c r="O86" s="4" t="n"/>
      <c r="P86" s="4" t="n"/>
      <c r="Q86" s="4" t="n"/>
      <c r="R86" s="4" t="n"/>
      <c r="S86" s="4" t="n"/>
      <c r="T86" s="4" t="n"/>
      <c r="U86" s="4" t="n"/>
      <c r="V86" s="4" t="n"/>
      <c r="W86" s="4" t="n"/>
      <c r="X86" s="4" t="n"/>
      <c r="Y86" s="4" t="n"/>
      <c r="Z86" s="4" t="n"/>
      <c r="AA86" s="4" t="n"/>
      <c r="AB86" s="4" t="n"/>
    </row>
    <row r="87">
      <c r="A87" s="4" t="n"/>
      <c r="B87" s="4" t="n"/>
      <c r="C87" s="4" t="n"/>
      <c r="D87" s="4" t="n"/>
      <c r="E87" s="4" t="n"/>
      <c r="F87" s="4" t="n"/>
      <c r="G87" s="4" t="n"/>
      <c r="H87" s="4" t="n"/>
      <c r="I87" s="4" t="n"/>
      <c r="J87" s="4" t="n"/>
      <c r="K87" s="4" t="n"/>
      <c r="M87" s="4" t="n"/>
      <c r="N87" s="4" t="n"/>
      <c r="O87" s="4" t="n"/>
      <c r="P87" s="4" t="n"/>
      <c r="Q87" s="4" t="n"/>
      <c r="R87" s="4" t="n"/>
      <c r="S87" s="4" t="n"/>
      <c r="T87" s="4" t="n"/>
      <c r="U87" s="4" t="n"/>
      <c r="V87" s="4" t="n"/>
      <c r="W87" s="4" t="n"/>
      <c r="X87" s="4" t="n"/>
      <c r="Y87" s="4" t="n"/>
      <c r="Z87" s="4" t="n"/>
      <c r="AA87" s="4" t="n"/>
      <c r="AB87" s="4" t="n"/>
    </row>
    <row r="88" ht="15" customHeight="1">
      <c r="A88" s="4" t="n"/>
      <c r="B88" s="4" t="n"/>
      <c r="C88" s="4" t="n"/>
      <c r="D88" s="4" t="n"/>
      <c r="E88" s="4" t="n"/>
      <c r="F88" s="4" t="n"/>
      <c r="G88" s="4" t="n"/>
      <c r="H88" s="4" t="n"/>
      <c r="I88" s="4" t="n"/>
      <c r="J88" s="4" t="n"/>
      <c r="K88" s="4" t="n"/>
      <c r="M88" s="4" t="n"/>
      <c r="N88" s="4" t="n"/>
      <c r="O88" s="4" t="n"/>
      <c r="P88" s="4" t="n"/>
      <c r="Q88" s="4" t="n"/>
      <c r="R88" s="4" t="n"/>
      <c r="S88" s="4" t="n"/>
      <c r="T88" s="4" t="n"/>
      <c r="U88" s="4" t="n"/>
      <c r="V88" s="4" t="n"/>
      <c r="W88" s="4" t="n"/>
      <c r="X88" s="4" t="n"/>
      <c r="Y88" s="4" t="n"/>
      <c r="Z88" s="4" t="n"/>
      <c r="AA88" s="4" t="n"/>
      <c r="AB88" s="4" t="n"/>
    </row>
    <row r="89" ht="15" customHeight="1">
      <c r="A89" s="4" t="n"/>
      <c r="B89" s="4" t="n"/>
      <c r="C89" s="4" t="n"/>
      <c r="D89" s="4" t="n"/>
      <c r="E89" s="4" t="n"/>
      <c r="F89" s="4" t="n"/>
      <c r="G89" s="4" t="n"/>
      <c r="H89" s="4" t="n"/>
      <c r="I89" s="4" t="n"/>
      <c r="J89" s="4" t="n"/>
      <c r="K89" s="4" t="n"/>
      <c r="M89" s="4" t="n"/>
      <c r="N89" s="4" t="n"/>
      <c r="O89" s="4" t="n"/>
      <c r="P89" s="4" t="n"/>
      <c r="Q89" s="4" t="n"/>
      <c r="R89" s="4" t="n"/>
      <c r="S89" s="4" t="n"/>
      <c r="T89" s="4" t="n"/>
      <c r="U89" s="4" t="n"/>
      <c r="V89" s="4" t="n"/>
      <c r="W89" s="4" t="n"/>
      <c r="X89" s="4" t="n"/>
      <c r="Y89" s="4" t="n"/>
      <c r="Z89" s="4" t="n"/>
      <c r="AA89" s="4" t="n"/>
      <c r="AB89" s="4" t="n"/>
    </row>
    <row r="90" ht="15" customHeight="1">
      <c r="A90" s="4" t="n"/>
      <c r="B90" s="4" t="n"/>
      <c r="C90" s="4" t="n"/>
      <c r="D90" s="4" t="n"/>
      <c r="E90" s="4" t="n"/>
      <c r="F90" s="4" t="n"/>
      <c r="G90" s="4" t="n"/>
      <c r="H90" s="4" t="n"/>
      <c r="I90" s="4" t="n"/>
      <c r="J90" s="4" t="n"/>
      <c r="K90" s="4" t="n"/>
      <c r="M90" s="4" t="n"/>
      <c r="N90" s="4" t="n"/>
      <c r="O90" s="4" t="n"/>
      <c r="P90" s="4" t="n"/>
      <c r="Q90" s="4" t="n"/>
      <c r="R90" s="4" t="n"/>
      <c r="S90" s="4" t="n"/>
      <c r="T90" s="4" t="n"/>
      <c r="U90" s="4" t="n"/>
      <c r="V90" s="4" t="n"/>
      <c r="W90" s="4" t="n"/>
      <c r="X90" s="4" t="n"/>
      <c r="Y90" s="4" t="n"/>
      <c r="Z90" s="4" t="n"/>
      <c r="AA90" s="4" t="n"/>
      <c r="AB90" s="4" t="n"/>
    </row>
    <row r="91" ht="15" customHeight="1">
      <c r="A91" s="4" t="n"/>
      <c r="B91" s="4" t="n"/>
      <c r="C91" s="4" t="n"/>
      <c r="D91" s="4" t="n"/>
      <c r="E91" s="4" t="n"/>
      <c r="F91" s="4" t="n"/>
      <c r="G91" s="4" t="n"/>
      <c r="H91" s="4" t="n"/>
      <c r="I91" s="4" t="n"/>
      <c r="J91" s="4" t="n"/>
      <c r="K91" s="4" t="n"/>
      <c r="M91" s="4" t="n"/>
      <c r="N91" s="4" t="n"/>
      <c r="O91" s="4" t="n"/>
      <c r="P91" s="4" t="n"/>
      <c r="Q91" s="4" t="n"/>
      <c r="R91" s="4" t="n"/>
      <c r="S91" s="4" t="n"/>
      <c r="T91" s="4" t="n"/>
      <c r="U91" s="4" t="n"/>
      <c r="V91" s="4" t="n"/>
      <c r="W91" s="4" t="n"/>
      <c r="X91" s="4" t="n"/>
      <c r="Y91" s="4" t="n"/>
      <c r="Z91" s="4" t="n"/>
      <c r="AA91" s="4" t="n"/>
      <c r="AB91" s="4" t="n"/>
    </row>
  </sheetData>
  <mergeCells count="151">
    <mergeCell ref="H53:I53"/>
    <mergeCell ref="H35:I35"/>
    <mergeCell ref="K26:K27"/>
    <mergeCell ref="U74:U75"/>
    <mergeCell ref="W74:W75"/>
    <mergeCell ref="F25:G25"/>
    <mergeCell ref="E60:J60"/>
    <mergeCell ref="Y74:Y75"/>
    <mergeCell ref="K89:L89"/>
    <mergeCell ref="E69:J69"/>
    <mergeCell ref="I78:L78"/>
    <mergeCell ref="K4:L4"/>
    <mergeCell ref="K88:L88"/>
    <mergeCell ref="E48:I48"/>
    <mergeCell ref="H39:I39"/>
    <mergeCell ref="E38:I38"/>
    <mergeCell ref="K90:L90"/>
    <mergeCell ref="E61:J61"/>
    <mergeCell ref="F16:I16"/>
    <mergeCell ref="J36:J37"/>
    <mergeCell ref="D19:J19"/>
    <mergeCell ref="H52:I52"/>
    <mergeCell ref="K58:L58"/>
    <mergeCell ref="K74:L75"/>
    <mergeCell ref="K52:K53"/>
    <mergeCell ref="E79:H79"/>
    <mergeCell ref="K2:L2"/>
    <mergeCell ref="F15:I15"/>
    <mergeCell ref="H37:I37"/>
    <mergeCell ref="I76:L76"/>
    <mergeCell ref="J31:J32"/>
    <mergeCell ref="L31:L32"/>
    <mergeCell ref="E74:H74"/>
    <mergeCell ref="Z74:Z75"/>
    <mergeCell ref="AB74:AB75"/>
    <mergeCell ref="L16:L17"/>
    <mergeCell ref="H23:I23"/>
    <mergeCell ref="F13:I13"/>
    <mergeCell ref="E63:J63"/>
    <mergeCell ref="F54:G54"/>
    <mergeCell ref="H54:I54"/>
    <mergeCell ref="R74:R75"/>
    <mergeCell ref="J74:J75"/>
    <mergeCell ref="H41:I41"/>
    <mergeCell ref="T74:T75"/>
    <mergeCell ref="E65:J65"/>
    <mergeCell ref="D29:J29"/>
    <mergeCell ref="E75:H75"/>
    <mergeCell ref="H25:I25"/>
    <mergeCell ref="F30:G30"/>
    <mergeCell ref="A74:A75"/>
    <mergeCell ref="K1:L1"/>
    <mergeCell ref="K72:L72"/>
    <mergeCell ref="F33:G33"/>
    <mergeCell ref="M74:M75"/>
    <mergeCell ref="K46:K47"/>
    <mergeCell ref="I77:L77"/>
    <mergeCell ref="O74:O75"/>
    <mergeCell ref="F42:G42"/>
    <mergeCell ref="C46:C47"/>
    <mergeCell ref="H36:I36"/>
    <mergeCell ref="I80:L80"/>
    <mergeCell ref="K56:L56"/>
    <mergeCell ref="E59:I59"/>
    <mergeCell ref="Q74:Q75"/>
    <mergeCell ref="AA74:AA75"/>
    <mergeCell ref="S74:S75"/>
    <mergeCell ref="F31:G31"/>
    <mergeCell ref="J21:J22"/>
    <mergeCell ref="F28:G28"/>
    <mergeCell ref="L21:L22"/>
    <mergeCell ref="H28:I28"/>
    <mergeCell ref="F5:H10"/>
    <mergeCell ref="E62:J62"/>
    <mergeCell ref="F17:I17"/>
    <mergeCell ref="C74:C75"/>
    <mergeCell ref="L46:L47"/>
    <mergeCell ref="C73:E73"/>
    <mergeCell ref="F44:G44"/>
    <mergeCell ref="E64:J64"/>
    <mergeCell ref="K3:L3"/>
    <mergeCell ref="J5:J10"/>
    <mergeCell ref="E43:I43"/>
    <mergeCell ref="K83:L83"/>
    <mergeCell ref="E76:H76"/>
    <mergeCell ref="H31:I31"/>
    <mergeCell ref="H40:I40"/>
    <mergeCell ref="D14:J14"/>
    <mergeCell ref="H21:I21"/>
    <mergeCell ref="V74:V75"/>
    <mergeCell ref="X74:X75"/>
    <mergeCell ref="K31:K32"/>
    <mergeCell ref="J26:J27"/>
    <mergeCell ref="D24:I24"/>
    <mergeCell ref="L26:L27"/>
    <mergeCell ref="E66:J66"/>
    <mergeCell ref="L41:L42"/>
    <mergeCell ref="K71:L71"/>
    <mergeCell ref="H22:I22"/>
    <mergeCell ref="E68:J68"/>
    <mergeCell ref="F18:I18"/>
    <mergeCell ref="J52:J53"/>
    <mergeCell ref="E78:H78"/>
    <mergeCell ref="L52:L53"/>
    <mergeCell ref="H42:I42"/>
    <mergeCell ref="E67:J67"/>
    <mergeCell ref="K16:K17"/>
    <mergeCell ref="K57:L57"/>
    <mergeCell ref="L36:L37"/>
    <mergeCell ref="E80:H80"/>
    <mergeCell ref="H30:I30"/>
    <mergeCell ref="K36:K37"/>
    <mergeCell ref="H20:I20"/>
    <mergeCell ref="K21:K22"/>
    <mergeCell ref="I79:L79"/>
    <mergeCell ref="H44:I44"/>
    <mergeCell ref="F40:G40"/>
    <mergeCell ref="K41:K42"/>
    <mergeCell ref="D50:J50"/>
    <mergeCell ref="K91:L91"/>
    <mergeCell ref="K85:L85"/>
    <mergeCell ref="F51:G51"/>
    <mergeCell ref="H51:I51"/>
    <mergeCell ref="E70:J70"/>
    <mergeCell ref="D34:J34"/>
    <mergeCell ref="F32:G32"/>
    <mergeCell ref="K84:L84"/>
    <mergeCell ref="F26:G26"/>
    <mergeCell ref="F41:G41"/>
    <mergeCell ref="J16:J17"/>
    <mergeCell ref="K12:L12"/>
    <mergeCell ref="H32:I32"/>
    <mergeCell ref="B74:B75"/>
    <mergeCell ref="K86:L86"/>
    <mergeCell ref="D74:D75"/>
    <mergeCell ref="J46:J47"/>
    <mergeCell ref="J41:J42"/>
    <mergeCell ref="F4:H4"/>
    <mergeCell ref="N74:N75"/>
    <mergeCell ref="P74:P75"/>
    <mergeCell ref="F27:G27"/>
    <mergeCell ref="H27:I27"/>
    <mergeCell ref="F52:G52"/>
    <mergeCell ref="I5:I10"/>
    <mergeCell ref="C58:E58"/>
    <mergeCell ref="H33:I33"/>
    <mergeCell ref="K5:L10"/>
    <mergeCell ref="E77:H77"/>
    <mergeCell ref="K87:L87"/>
    <mergeCell ref="F53:G53"/>
    <mergeCell ref="H26:I26"/>
  </mergeCells>
  <conditionalFormatting sqref="E38:I38">
    <cfRule type="cellIs" priority="1" operator="equal" dxfId="0">
      <formula>"PASS"</formula>
    </cfRule>
    <cfRule type="cellIs" priority="2" operator="equal" dxfId="1">
      <formula>"FAIL"</formula>
    </cfRule>
  </conditionalFormatting>
  <conditionalFormatting sqref="E43:I43">
    <cfRule type="cellIs" priority="3" operator="equal" dxfId="0">
      <formula>"PASS"</formula>
    </cfRule>
    <cfRule type="cellIs" priority="4" operator="equal" dxfId="1">
      <formula>"FAIL"</formula>
    </cfRule>
  </conditionalFormatting>
  <conditionalFormatting sqref="E48:I48">
    <cfRule type="cellIs" priority="5" operator="equal" dxfId="0">
      <formula>"PASS"</formula>
    </cfRule>
    <cfRule type="cellIs" priority="6" operator="equal" dxfId="1">
      <formula>"FAIL"</formula>
    </cfRule>
  </conditionalFormatting>
  <conditionalFormatting sqref="I5:I10">
    <cfRule type="cellIs" priority="7" operator="equal" dxfId="0">
      <formula>"PASS"</formula>
    </cfRule>
    <cfRule type="cellIs" priority="8" operator="equal" dxfId="1">
      <formula>"FAIL"</formula>
    </cfRule>
  </conditionalFormatting>
  <conditionalFormatting sqref="K5:L10">
    <cfRule type="cellIs" priority="9" operator="equal" dxfId="2">
      <formula>"PASS"</formula>
    </cfRule>
    <cfRule type="cellIs" priority="10" operator="equal" dxfId="3">
      <formula>"FAIL"</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Buckens, Myrthe</dc:creator>
  <dcterms:created xsi:type="dcterms:W3CDTF">2024-09-16T12:30:14Z</dcterms:created>
  <dcterms:modified xsi:type="dcterms:W3CDTF">2026-06-08T06:44:01Z</dcterms:modified>
  <cp:lastModifiedBy>Dean van Aswegen</cp:lastModifiedBy>
</cp:coreProperties>
</file>